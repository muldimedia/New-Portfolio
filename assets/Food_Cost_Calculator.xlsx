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k\Desktop\"/>
    </mc:Choice>
  </mc:AlternateContent>
  <xr:revisionPtr revIDLastSave="0" documentId="13_ncr:1_{25355154-A7EC-488D-A9C1-5050F4CBAFC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gredients" sheetId="1" r:id="rId1"/>
    <sheet name="Omelete" sheetId="2" r:id="rId2"/>
    <sheet name="Recipe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C14" i="2"/>
  <c r="C12" i="3"/>
  <c r="C13" i="3"/>
  <c r="C15" i="3"/>
  <c r="C16" i="3"/>
  <c r="C17" i="3"/>
  <c r="C18" i="3"/>
  <c r="C19" i="3"/>
  <c r="C20" i="3"/>
  <c r="C21" i="3"/>
  <c r="C22" i="3"/>
  <c r="C23" i="3"/>
  <c r="C24" i="3"/>
  <c r="C25" i="3"/>
  <c r="C26" i="3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27" i="3"/>
  <c r="C28" i="3"/>
  <c r="C29" i="3"/>
  <c r="C30" i="3"/>
  <c r="D30" i="3"/>
  <c r="D29" i="3"/>
  <c r="E29" i="3" s="1"/>
  <c r="D28" i="3"/>
  <c r="E28" i="3" s="1"/>
  <c r="D27" i="3"/>
  <c r="E27" i="3" s="1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B5" i="3"/>
  <c r="E25" i="2"/>
  <c r="E27" i="2"/>
  <c r="E28" i="2"/>
  <c r="E29" i="2"/>
  <c r="D13" i="2"/>
  <c r="D14" i="2"/>
  <c r="E14" i="2" s="1"/>
  <c r="D15" i="2"/>
  <c r="E15" i="2" s="1"/>
  <c r="D16" i="2"/>
  <c r="E16" i="2" s="1"/>
  <c r="D17" i="2"/>
  <c r="E17" i="2" s="1"/>
  <c r="D18" i="2"/>
  <c r="E18" i="2" s="1"/>
  <c r="D19" i="2"/>
  <c r="D20" i="2"/>
  <c r="D21" i="2"/>
  <c r="D22" i="2"/>
  <c r="D23" i="2"/>
  <c r="D24" i="2"/>
  <c r="E24" i="2" s="1"/>
  <c r="D25" i="2"/>
  <c r="D26" i="2"/>
  <c r="D27" i="2"/>
  <c r="D28" i="2"/>
  <c r="D29" i="2"/>
  <c r="D30" i="2"/>
  <c r="E30" i="2" s="1"/>
  <c r="D12" i="2"/>
  <c r="B5" i="2"/>
  <c r="E23" i="2" l="1"/>
  <c r="E26" i="2"/>
  <c r="E19" i="2"/>
  <c r="E20" i="2"/>
  <c r="E21" i="2"/>
  <c r="E22" i="2"/>
  <c r="E13" i="2"/>
  <c r="E25" i="3"/>
  <c r="E26" i="3"/>
  <c r="E15" i="3"/>
  <c r="E16" i="3"/>
  <c r="E18" i="3"/>
  <c r="E14" i="3"/>
  <c r="E13" i="3"/>
  <c r="E22" i="3"/>
  <c r="E30" i="3"/>
  <c r="E23" i="3"/>
  <c r="E17" i="3"/>
  <c r="E19" i="3"/>
  <c r="E24" i="3"/>
  <c r="E20" i="3"/>
  <c r="E21" i="3"/>
  <c r="E12" i="3"/>
  <c r="E12" i="2"/>
  <c r="B6" i="2" l="1"/>
  <c r="B6" i="3"/>
  <c r="B7" i="3" s="1"/>
  <c r="B8" i="2"/>
  <c r="B8" i="3" l="1"/>
  <c r="B7" i="2"/>
</calcChain>
</file>

<file path=xl/sharedStrings.xml><?xml version="1.0" encoding="utf-8"?>
<sst xmlns="http://schemas.openxmlformats.org/spreadsheetml/2006/main" count="105" uniqueCount="54">
  <si>
    <t>Name</t>
  </si>
  <si>
    <t>Price</t>
  </si>
  <si>
    <t>Unit</t>
  </si>
  <si>
    <t>Supplier</t>
  </si>
  <si>
    <t>Mince</t>
  </si>
  <si>
    <t>kg</t>
  </si>
  <si>
    <t>Butcher</t>
  </si>
  <si>
    <t>Onion</t>
  </si>
  <si>
    <t>Fresh n Fruity</t>
  </si>
  <si>
    <t>Tomatoes</t>
  </si>
  <si>
    <t>Saucery's</t>
  </si>
  <si>
    <t>Carrots</t>
  </si>
  <si>
    <t>Hanos</t>
  </si>
  <si>
    <t>Pasta</t>
  </si>
  <si>
    <t>Meatery</t>
  </si>
  <si>
    <t>Parmesan</t>
  </si>
  <si>
    <t>Olives</t>
  </si>
  <si>
    <t>Potatoes</t>
  </si>
  <si>
    <t>Celery</t>
  </si>
  <si>
    <t>Tomato Paste</t>
  </si>
  <si>
    <t>Brakes</t>
  </si>
  <si>
    <t>Chicken Stock</t>
  </si>
  <si>
    <t>l</t>
  </si>
  <si>
    <t>Red Wine</t>
  </si>
  <si>
    <t>Super Importers</t>
  </si>
  <si>
    <t>Oregano</t>
  </si>
  <si>
    <t>Rosemary</t>
  </si>
  <si>
    <t>Pancetta</t>
  </si>
  <si>
    <t>Salt</t>
  </si>
  <si>
    <t>Pepper</t>
  </si>
  <si>
    <t>Spaghetti</t>
  </si>
  <si>
    <t>Burger Buns</t>
  </si>
  <si>
    <t>pcs</t>
  </si>
  <si>
    <t>Bakery</t>
  </si>
  <si>
    <t>Eggs</t>
  </si>
  <si>
    <t>Farm Fresh</t>
  </si>
  <si>
    <t>Metric</t>
  </si>
  <si>
    <t>Value</t>
  </si>
  <si>
    <t>DISH NAME</t>
  </si>
  <si>
    <t>EST. SALE PRICE (VAT INC)</t>
  </si>
  <si>
    <t>VAT %</t>
  </si>
  <si>
    <t>SALE PRICE (VAT EX)</t>
  </si>
  <si>
    <t>FOOD COST</t>
  </si>
  <si>
    <t>FOOD COST %</t>
  </si>
  <si>
    <t>NET PROFIT</t>
  </si>
  <si>
    <t>Product Name</t>
  </si>
  <si>
    <t>Quantity</t>
  </si>
  <si>
    <t>UOM</t>
  </si>
  <si>
    <t>Price/Unit</t>
  </si>
  <si>
    <t>Total Cost</t>
  </si>
  <si>
    <t>g</t>
  </si>
  <si>
    <t>Omelete</t>
  </si>
  <si>
    <t>ml</t>
  </si>
  <si>
    <t>Συγκριτικα ανα εβοδμαδα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</si>
</sst>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XDR&quot;_-;\-* #,##0.00\ &quot;XDR&quot;_-;_-* &quot;-&quot;??\ &quot;XDR&quot;_-;_-@_-"/>
    <numFmt numFmtId="164" formatCode="&quot;€&quot;#,##0.00"/>
    <numFmt numFmtId="165" formatCode="_-[$€-2]\ * #,##0.00_-;\-[$€-2]\ * #,##0.00_-;_-[$€-2]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C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1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/>
    <xf numFmtId="165" fontId="0" fillId="0" borderId="1" xfId="1" applyNumberFormat="1" applyFont="1" applyBorder="1"/>
    <xf numFmtId="9" fontId="0" fillId="0" borderId="1" xfId="2" applyFont="1" applyBorder="1"/>
    <xf numFmtId="165" fontId="0" fillId="0" borderId="1" xfId="0" applyNumberFormat="1" applyBorder="1"/>
    <xf numFmtId="0" fontId="3" fillId="0" borderId="1" xfId="0" applyFont="1" applyBorder="1"/>
    <xf numFmtId="0" fontId="0" fillId="3" borderId="0" xfId="0" applyFill="1"/>
    <xf numFmtId="0" fontId="1" fillId="2" borderId="2" xfId="0" applyFont="1" applyFill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165" fontId="1" fillId="2" borderId="2" xfId="0" applyNumberFormat="1" applyFont="1" applyFill="1" applyBorder="1" applyAlignment="1">
      <alignment horizontal="center" vertical="top"/>
    </xf>
    <xf numFmtId="165" fontId="0" fillId="0" borderId="0" xfId="0" applyNumberFormat="1"/>
    <xf numFmtId="0" fontId="1" fillId="4" borderId="1" xfId="0" applyFont="1" applyFill="1" applyBorder="1"/>
  </cellXfs>
  <cellStyles count="3">
    <cellStyle name="Currency" xfId="1" builtinId="4"/>
    <cellStyle name="Normal" xfId="0" builtinId="0"/>
    <cellStyle name="Per cent" xfId="2" builtinId="5"/>
  </cellStyles>
  <dxfs count="5">
    <dxf>
      <numFmt numFmtId="165" formatCode="_-[$€-2]\ * #,##0.00_-;\-[$€-2]\ * #,##0.00_-;_-[$€-2]\ * &quot;-&quot;??_-;_-@_-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FFC000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BED48E-B772-4C9B-98D8-57DAC428467D}" name="Table2" displayName="Table2" ref="A1:D21" totalsRowShown="0" headerRowDxfId="4" headerRowBorderDxfId="3" tableBorderDxfId="2">
  <autoFilter ref="A1:D21" xr:uid="{11BED48E-B772-4C9B-98D8-57DAC428467D}"/>
  <tableColumns count="4">
    <tableColumn id="1" xr3:uid="{7D3B4C6D-B539-486D-8FE1-E298AA4FAF82}" name="Name"/>
    <tableColumn id="2" xr3:uid="{6CC5DC43-ED51-4ED2-B9AC-C1CD88BD8899}" name="Price" dataDxfId="0"/>
    <tableColumn id="3" xr3:uid="{7C8280B8-7769-417E-9811-B28360CF27F6}" name="Unit" dataDxfId="1"/>
    <tableColumn id="4" xr3:uid="{BFC9F748-E761-4C2B-AAEC-CEA83766FA73}" name="Supplier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26" sqref="D26"/>
    </sheetView>
  </sheetViews>
  <sheetFormatPr defaultRowHeight="14.5" x14ac:dyDescent="0.35"/>
  <cols>
    <col min="1" max="1" width="20" customWidth="1"/>
    <col min="2" max="2" width="17.08984375" style="16" customWidth="1"/>
    <col min="3" max="3" width="8.7265625" style="3"/>
    <col min="4" max="4" width="20" customWidth="1"/>
  </cols>
  <sheetData>
    <row r="1" spans="1:4" s="10" customFormat="1" x14ac:dyDescent="0.35">
      <c r="A1" s="11" t="s">
        <v>0</v>
      </c>
      <c r="B1" s="15" t="s">
        <v>1</v>
      </c>
      <c r="C1" s="11" t="s">
        <v>2</v>
      </c>
      <c r="D1" s="11" t="s">
        <v>3</v>
      </c>
    </row>
    <row r="2" spans="1:4" x14ac:dyDescent="0.35">
      <c r="A2" t="s">
        <v>4</v>
      </c>
      <c r="B2" s="16">
        <v>1.5</v>
      </c>
      <c r="C2" s="3" t="s">
        <v>5</v>
      </c>
      <c r="D2" t="s">
        <v>6</v>
      </c>
    </row>
    <row r="3" spans="1:4" x14ac:dyDescent="0.35">
      <c r="A3" t="s">
        <v>7</v>
      </c>
      <c r="B3" s="16">
        <v>1</v>
      </c>
      <c r="C3" s="3" t="s">
        <v>5</v>
      </c>
      <c r="D3" t="s">
        <v>8</v>
      </c>
    </row>
    <row r="4" spans="1:4" x14ac:dyDescent="0.35">
      <c r="A4" t="s">
        <v>9</v>
      </c>
      <c r="B4" s="16">
        <v>2.34</v>
      </c>
      <c r="C4" s="3" t="s">
        <v>5</v>
      </c>
      <c r="D4" t="s">
        <v>10</v>
      </c>
    </row>
    <row r="5" spans="1:4" x14ac:dyDescent="0.35">
      <c r="A5" t="s">
        <v>11</v>
      </c>
      <c r="B5" s="16">
        <v>1.17</v>
      </c>
      <c r="C5" s="3" t="s">
        <v>5</v>
      </c>
      <c r="D5" t="s">
        <v>12</v>
      </c>
    </row>
    <row r="6" spans="1:4" x14ac:dyDescent="0.35">
      <c r="A6" t="s">
        <v>13</v>
      </c>
      <c r="B6" s="16">
        <v>0.94</v>
      </c>
      <c r="C6" s="3" t="s">
        <v>5</v>
      </c>
      <c r="D6" t="s">
        <v>14</v>
      </c>
    </row>
    <row r="7" spans="1:4" x14ac:dyDescent="0.35">
      <c r="A7" t="s">
        <v>15</v>
      </c>
      <c r="B7" s="16">
        <v>5.3</v>
      </c>
      <c r="C7" s="3" t="s">
        <v>5</v>
      </c>
      <c r="D7" t="s">
        <v>8</v>
      </c>
    </row>
    <row r="8" spans="1:4" x14ac:dyDescent="0.35">
      <c r="A8" t="s">
        <v>16</v>
      </c>
      <c r="B8" s="16">
        <v>10</v>
      </c>
      <c r="C8" s="3" t="s">
        <v>5</v>
      </c>
      <c r="D8" t="s">
        <v>8</v>
      </c>
    </row>
    <row r="9" spans="1:4" x14ac:dyDescent="0.35">
      <c r="A9" t="s">
        <v>17</v>
      </c>
      <c r="B9" s="16">
        <v>5</v>
      </c>
      <c r="C9" s="3" t="s">
        <v>5</v>
      </c>
      <c r="D9" t="s">
        <v>8</v>
      </c>
    </row>
    <row r="10" spans="1:4" x14ac:dyDescent="0.35">
      <c r="A10" t="s">
        <v>18</v>
      </c>
      <c r="B10" s="16">
        <v>0.89</v>
      </c>
      <c r="C10" s="3" t="s">
        <v>5</v>
      </c>
      <c r="D10" t="s">
        <v>8</v>
      </c>
    </row>
    <row r="11" spans="1:4" x14ac:dyDescent="0.35">
      <c r="A11" t="s">
        <v>19</v>
      </c>
      <c r="B11" s="16">
        <v>3.75</v>
      </c>
      <c r="C11" s="3" t="s">
        <v>5</v>
      </c>
      <c r="D11" t="s">
        <v>20</v>
      </c>
    </row>
    <row r="12" spans="1:4" x14ac:dyDescent="0.35">
      <c r="A12" t="s">
        <v>21</v>
      </c>
      <c r="B12" s="16">
        <v>0.68</v>
      </c>
      <c r="C12" s="3" t="s">
        <v>22</v>
      </c>
      <c r="D12" t="s">
        <v>20</v>
      </c>
    </row>
    <row r="13" spans="1:4" x14ac:dyDescent="0.35">
      <c r="A13" t="s">
        <v>23</v>
      </c>
      <c r="B13" s="16">
        <v>3.89</v>
      </c>
      <c r="C13" s="3" t="s">
        <v>22</v>
      </c>
      <c r="D13" t="s">
        <v>24</v>
      </c>
    </row>
    <row r="14" spans="1:4" x14ac:dyDescent="0.35">
      <c r="A14" t="s">
        <v>25</v>
      </c>
      <c r="B14" s="16">
        <v>0.56000000000000005</v>
      </c>
      <c r="C14" s="3" t="s">
        <v>5</v>
      </c>
      <c r="D14" t="s">
        <v>20</v>
      </c>
    </row>
    <row r="15" spans="1:4" x14ac:dyDescent="0.35">
      <c r="A15" t="s">
        <v>26</v>
      </c>
      <c r="B15" s="16">
        <v>0.56000000000000005</v>
      </c>
      <c r="C15" s="3" t="s">
        <v>5</v>
      </c>
      <c r="D15" t="s">
        <v>20</v>
      </c>
    </row>
    <row r="16" spans="1:4" x14ac:dyDescent="0.35">
      <c r="A16" t="s">
        <v>27</v>
      </c>
      <c r="B16" s="16">
        <v>8</v>
      </c>
      <c r="C16" s="3" t="s">
        <v>5</v>
      </c>
      <c r="D16" t="s">
        <v>14</v>
      </c>
    </row>
    <row r="17" spans="1:4" x14ac:dyDescent="0.35">
      <c r="A17" t="s">
        <v>28</v>
      </c>
      <c r="B17" s="16">
        <v>7</v>
      </c>
      <c r="C17" s="3" t="s">
        <v>5</v>
      </c>
      <c r="D17" t="s">
        <v>20</v>
      </c>
    </row>
    <row r="18" spans="1:4" x14ac:dyDescent="0.35">
      <c r="A18" t="s">
        <v>29</v>
      </c>
      <c r="B18" s="16">
        <v>5</v>
      </c>
      <c r="C18" s="3" t="s">
        <v>5</v>
      </c>
      <c r="D18" t="s">
        <v>20</v>
      </c>
    </row>
    <row r="19" spans="1:4" x14ac:dyDescent="0.35">
      <c r="A19" t="s">
        <v>30</v>
      </c>
      <c r="B19" s="16">
        <v>2</v>
      </c>
      <c r="C19" s="3" t="s">
        <v>5</v>
      </c>
      <c r="D19" t="s">
        <v>20</v>
      </c>
    </row>
    <row r="20" spans="1:4" x14ac:dyDescent="0.35">
      <c r="A20" t="s">
        <v>31</v>
      </c>
      <c r="B20" s="16">
        <v>0.4</v>
      </c>
      <c r="C20" s="3" t="s">
        <v>32</v>
      </c>
      <c r="D20" t="s">
        <v>33</v>
      </c>
    </row>
    <row r="21" spans="1:4" x14ac:dyDescent="0.35">
      <c r="A21" t="s">
        <v>34</v>
      </c>
      <c r="B21" s="16">
        <v>0.15</v>
      </c>
      <c r="C21" s="3" t="s">
        <v>32</v>
      </c>
      <c r="D21" t="s">
        <v>35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>
      <selection activeCell="O9" sqref="O9"/>
    </sheetView>
  </sheetViews>
  <sheetFormatPr defaultRowHeight="14.5" x14ac:dyDescent="0.35"/>
  <cols>
    <col min="1" max="1" width="25" customWidth="1"/>
    <col min="2" max="2" width="10.453125" bestFit="1" customWidth="1"/>
  </cols>
  <sheetData>
    <row r="1" spans="1:5" x14ac:dyDescent="0.35">
      <c r="A1" s="1" t="s">
        <v>36</v>
      </c>
      <c r="B1" s="2" t="s">
        <v>37</v>
      </c>
      <c r="D1" t="s">
        <v>53</v>
      </c>
    </row>
    <row r="2" spans="1:5" x14ac:dyDescent="0.35">
      <c r="A2" s="5" t="s">
        <v>38</v>
      </c>
      <c r="B2" s="6" t="s">
        <v>51</v>
      </c>
    </row>
    <row r="3" spans="1:5" x14ac:dyDescent="0.35">
      <c r="A3" s="5" t="s">
        <v>39</v>
      </c>
      <c r="B3" s="6">
        <v>25</v>
      </c>
    </row>
    <row r="4" spans="1:5" x14ac:dyDescent="0.35">
      <c r="A4" s="5" t="s">
        <v>40</v>
      </c>
      <c r="B4" s="7">
        <v>0.13</v>
      </c>
    </row>
    <row r="5" spans="1:5" x14ac:dyDescent="0.35">
      <c r="A5" s="5" t="s">
        <v>41</v>
      </c>
      <c r="B5" s="8">
        <f>B3 / (1 + B4)</f>
        <v>22.123893805309738</v>
      </c>
    </row>
    <row r="6" spans="1:5" x14ac:dyDescent="0.35">
      <c r="A6" s="5" t="s">
        <v>42</v>
      </c>
      <c r="B6" s="6">
        <f>SUM(E12:E30)</f>
        <v>19.937799999999999</v>
      </c>
    </row>
    <row r="7" spans="1:5" x14ac:dyDescent="0.35">
      <c r="A7" s="5" t="s">
        <v>43</v>
      </c>
      <c r="B7" s="6">
        <f>B6 / B5</f>
        <v>0.90118855999999981</v>
      </c>
    </row>
    <row r="8" spans="1:5" x14ac:dyDescent="0.35">
      <c r="A8" s="9" t="s">
        <v>44</v>
      </c>
      <c r="B8" s="8">
        <f>B5 - B6</f>
        <v>2.1860938053097385</v>
      </c>
    </row>
    <row r="11" spans="1:5" x14ac:dyDescent="0.35">
      <c r="A11" s="4" t="s">
        <v>45</v>
      </c>
      <c r="B11" s="4" t="s">
        <v>46</v>
      </c>
      <c r="C11" s="4" t="s">
        <v>47</v>
      </c>
      <c r="D11" s="4" t="s">
        <v>48</v>
      </c>
      <c r="E11" s="4" t="s">
        <v>49</v>
      </c>
    </row>
    <row r="12" spans="1:5" x14ac:dyDescent="0.35">
      <c r="A12" s="12" t="s">
        <v>34</v>
      </c>
      <c r="B12" s="12">
        <v>3</v>
      </c>
      <c r="C12" s="14" t="str">
        <f>IFERROR(VLOOKUP(A12, Ingredients!A:C, 3, FALSE), "")</f>
        <v>pcs</v>
      </c>
      <c r="D12" s="13">
        <f>IFERROR(VLOOKUP(A12, Ingredients!A:D, 2, FALSE), 0)</f>
        <v>0.15</v>
      </c>
      <c r="E12" s="13">
        <f t="shared" ref="E12:E30" si="0">IF(OR(C12="g",C12="ml"),(B12/1000)*D12, B12*D12)</f>
        <v>0.44999999999999996</v>
      </c>
    </row>
    <row r="13" spans="1:5" x14ac:dyDescent="0.35">
      <c r="A13" s="12" t="s">
        <v>28</v>
      </c>
      <c r="B13" s="12">
        <v>5</v>
      </c>
      <c r="C13" s="14" t="s">
        <v>50</v>
      </c>
      <c r="D13" s="13">
        <f>IFERROR(VLOOKUP(A13, Ingredients!A:D, 2, FALSE), 0)</f>
        <v>7</v>
      </c>
      <c r="E13" s="13">
        <f t="shared" si="0"/>
        <v>3.5000000000000003E-2</v>
      </c>
    </row>
    <row r="14" spans="1:5" x14ac:dyDescent="0.35">
      <c r="A14" s="12" t="s">
        <v>23</v>
      </c>
      <c r="B14" s="12">
        <v>5</v>
      </c>
      <c r="C14" s="14" t="str">
        <f>IFERROR(VLOOKUP(A14, Ingredients!A:C, 3, FALSE), "")</f>
        <v>l</v>
      </c>
      <c r="D14" s="13">
        <f>IFERROR(VLOOKUP(A14, Ingredients!A:D, 2, FALSE), 0)</f>
        <v>3.89</v>
      </c>
      <c r="E14" s="13">
        <f t="shared" si="0"/>
        <v>19.45</v>
      </c>
    </row>
    <row r="15" spans="1:5" x14ac:dyDescent="0.35">
      <c r="A15" s="12" t="s">
        <v>26</v>
      </c>
      <c r="B15" s="12">
        <v>5</v>
      </c>
      <c r="C15" s="14" t="s">
        <v>50</v>
      </c>
      <c r="D15" s="13">
        <f>IFERROR(VLOOKUP(A15, Ingredients!A:D, 2, FALSE), 0)</f>
        <v>0.56000000000000005</v>
      </c>
      <c r="E15" s="13">
        <f t="shared" si="0"/>
        <v>2.8000000000000004E-3</v>
      </c>
    </row>
    <row r="16" spans="1:5" x14ac:dyDescent="0.35">
      <c r="A16" s="12"/>
      <c r="B16" s="12"/>
      <c r="C16" s="14" t="str">
        <f>IFERROR(VLOOKUP(A16, Ingredients!A:C, 3, FALSE), "")</f>
        <v/>
      </c>
      <c r="D16" s="13">
        <f>IFERROR(VLOOKUP(A16, Ingredients!A:D, 2, FALSE), 0)</f>
        <v>0</v>
      </c>
      <c r="E16" s="13">
        <f t="shared" si="0"/>
        <v>0</v>
      </c>
    </row>
    <row r="17" spans="1:5" x14ac:dyDescent="0.35">
      <c r="A17" s="12"/>
      <c r="B17" s="12"/>
      <c r="C17" s="14" t="str">
        <f>IFERROR(VLOOKUP(A17, Ingredients!A:C, 3, FALSE), "")</f>
        <v/>
      </c>
      <c r="D17" s="13">
        <f>IFERROR(VLOOKUP(A17, Ingredients!A:D, 2, FALSE), 0)</f>
        <v>0</v>
      </c>
      <c r="E17" s="13">
        <f t="shared" si="0"/>
        <v>0</v>
      </c>
    </row>
    <row r="18" spans="1:5" x14ac:dyDescent="0.35">
      <c r="A18" s="12"/>
      <c r="B18" s="12"/>
      <c r="C18" s="14" t="str">
        <f>IFERROR(VLOOKUP(A18, Ingredients!A:C, 3, FALSE), "")</f>
        <v/>
      </c>
      <c r="D18" s="13">
        <f>IFERROR(VLOOKUP(A18, Ingredients!A:D, 2, FALSE), 0)</f>
        <v>0</v>
      </c>
      <c r="E18" s="13">
        <f t="shared" si="0"/>
        <v>0</v>
      </c>
    </row>
    <row r="19" spans="1:5" x14ac:dyDescent="0.35">
      <c r="A19" s="12"/>
      <c r="B19" s="12"/>
      <c r="C19" s="14" t="str">
        <f>IFERROR(VLOOKUP(A19, Ingredients!A:C, 3, FALSE), "")</f>
        <v/>
      </c>
      <c r="D19" s="13">
        <f>IFERROR(VLOOKUP(A19, Ingredients!A:D, 2, FALSE), 0)</f>
        <v>0</v>
      </c>
      <c r="E19" s="13">
        <f t="shared" si="0"/>
        <v>0</v>
      </c>
    </row>
    <row r="20" spans="1:5" x14ac:dyDescent="0.35">
      <c r="A20" s="12"/>
      <c r="B20" s="12"/>
      <c r="C20" s="14" t="str">
        <f>IFERROR(VLOOKUP(A20, Ingredients!A:C, 3, FALSE), "")</f>
        <v/>
      </c>
      <c r="D20" s="13">
        <f>IFERROR(VLOOKUP(A20, Ingredients!A:D, 2, FALSE), 0)</f>
        <v>0</v>
      </c>
      <c r="E20" s="13">
        <f t="shared" si="0"/>
        <v>0</v>
      </c>
    </row>
    <row r="21" spans="1:5" x14ac:dyDescent="0.35">
      <c r="A21" s="12"/>
      <c r="B21" s="12"/>
      <c r="C21" s="14" t="str">
        <f>IFERROR(VLOOKUP(A21, Ingredients!A:C, 3, FALSE), "")</f>
        <v/>
      </c>
      <c r="D21" s="13">
        <f>IFERROR(VLOOKUP(A21, Ingredients!A:D, 2, FALSE), 0)</f>
        <v>0</v>
      </c>
      <c r="E21" s="13">
        <f t="shared" si="0"/>
        <v>0</v>
      </c>
    </row>
    <row r="22" spans="1:5" x14ac:dyDescent="0.35">
      <c r="A22" s="12"/>
      <c r="B22" s="12"/>
      <c r="C22" s="14" t="str">
        <f>IFERROR(VLOOKUP(A22, Ingredients!A:C, 3, FALSE), "")</f>
        <v/>
      </c>
      <c r="D22" s="13">
        <f>IFERROR(VLOOKUP(A22, Ingredients!A:D, 2, FALSE), 0)</f>
        <v>0</v>
      </c>
      <c r="E22" s="13">
        <f t="shared" si="0"/>
        <v>0</v>
      </c>
    </row>
    <row r="23" spans="1:5" x14ac:dyDescent="0.35">
      <c r="A23" s="12"/>
      <c r="B23" s="12"/>
      <c r="C23" s="14" t="str">
        <f>IFERROR(VLOOKUP(A23, Ingredients!A:C, 3, FALSE), "")</f>
        <v/>
      </c>
      <c r="D23" s="13">
        <f>IFERROR(VLOOKUP(A23, Ingredients!A:D, 2, FALSE), 0)</f>
        <v>0</v>
      </c>
      <c r="E23" s="13">
        <f t="shared" si="0"/>
        <v>0</v>
      </c>
    </row>
    <row r="24" spans="1:5" x14ac:dyDescent="0.35">
      <c r="A24" s="12"/>
      <c r="B24" s="12"/>
      <c r="C24" s="14" t="str">
        <f>IFERROR(VLOOKUP(A24, Ingredients!A:C, 3, FALSE), "")</f>
        <v/>
      </c>
      <c r="D24" s="13">
        <f>IFERROR(VLOOKUP(A24, Ingredients!A:D, 2, FALSE), 0)</f>
        <v>0</v>
      </c>
      <c r="E24" s="13">
        <f t="shared" si="0"/>
        <v>0</v>
      </c>
    </row>
    <row r="25" spans="1:5" x14ac:dyDescent="0.35">
      <c r="A25" s="12"/>
      <c r="B25" s="12"/>
      <c r="C25" s="14" t="str">
        <f>IFERROR(VLOOKUP(A25, Ingredients!A:C, 3, FALSE), "")</f>
        <v/>
      </c>
      <c r="D25" s="13">
        <f>IFERROR(VLOOKUP(A25, Ingredients!A:D, 2, FALSE), 0)</f>
        <v>0</v>
      </c>
      <c r="E25" s="13">
        <f t="shared" si="0"/>
        <v>0</v>
      </c>
    </row>
    <row r="26" spans="1:5" x14ac:dyDescent="0.35">
      <c r="A26" s="12"/>
      <c r="B26" s="12"/>
      <c r="C26" s="14" t="str">
        <f>IFERROR(VLOOKUP(A26, Ingredients!A:C, 3, FALSE), "")</f>
        <v/>
      </c>
      <c r="D26" s="13">
        <f>IFERROR(VLOOKUP(A26, Ingredients!A:D, 2, FALSE), 0)</f>
        <v>0</v>
      </c>
      <c r="E26" s="13">
        <f t="shared" si="0"/>
        <v>0</v>
      </c>
    </row>
    <row r="27" spans="1:5" x14ac:dyDescent="0.35">
      <c r="A27" s="12"/>
      <c r="B27" s="12"/>
      <c r="C27" s="14" t="str">
        <f>IFERROR(VLOOKUP(A27, Ingredients!A:C, 3, FALSE), "")</f>
        <v/>
      </c>
      <c r="D27" s="13">
        <f>IFERROR(VLOOKUP(A27, Ingredients!A:D, 2, FALSE), 0)</f>
        <v>0</v>
      </c>
      <c r="E27" s="13">
        <f t="shared" si="0"/>
        <v>0</v>
      </c>
    </row>
    <row r="28" spans="1:5" x14ac:dyDescent="0.35">
      <c r="A28" s="12"/>
      <c r="B28" s="12"/>
      <c r="C28" s="14" t="str">
        <f>IFERROR(VLOOKUP(A28, Ingredients!A:C, 3, FALSE), "")</f>
        <v/>
      </c>
      <c r="D28" s="13">
        <f>IFERROR(VLOOKUP(A28, Ingredients!A:D, 2, FALSE), 0)</f>
        <v>0</v>
      </c>
      <c r="E28" s="13">
        <f t="shared" si="0"/>
        <v>0</v>
      </c>
    </row>
    <row r="29" spans="1:5" x14ac:dyDescent="0.35">
      <c r="A29" s="12"/>
      <c r="B29" s="12"/>
      <c r="C29" s="14" t="str">
        <f>IFERROR(VLOOKUP(A29, Ingredients!A:C, 3, FALSE), "")</f>
        <v/>
      </c>
      <c r="D29" s="13">
        <f>IFERROR(VLOOKUP(A29, Ingredients!A:D, 2, FALSE), 0)</f>
        <v>0</v>
      </c>
      <c r="E29" s="13">
        <f t="shared" si="0"/>
        <v>0</v>
      </c>
    </row>
    <row r="30" spans="1:5" x14ac:dyDescent="0.35">
      <c r="A30" s="12"/>
      <c r="B30" s="12"/>
      <c r="C30" s="14" t="str">
        <f>IFERROR(VLOOKUP(A30, Ingredients!A:C, 3, FALSE), "")</f>
        <v/>
      </c>
      <c r="D30" s="13">
        <f>IFERROR(VLOOKUP(A30, Ingredients!A:D, 2, FALSE), 0)</f>
        <v>0</v>
      </c>
      <c r="E30" s="13">
        <f t="shared" si="0"/>
        <v>0</v>
      </c>
    </row>
  </sheetData>
  <dataValidations count="1">
    <dataValidation type="list" allowBlank="1" showInputMessage="1" showErrorMessage="1" sqref="C12:C30" xr:uid="{18C30CA4-1807-48E8-BEF6-EEFB9A648CA3}">
      <formula1>"Kg,g,L,ml,Pcs"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8F6A89-B8C4-40AE-B516-8EDBBA1E9D71}">
          <x14:formula1>
            <xm:f>Ingredients!$A:$A</xm:f>
          </x14:formula1>
          <xm:sqref>A12:A30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03E8-74D8-42CB-B55E-A3817C3F2928}">
  <dimension ref="A1:E30"/>
  <sheetViews>
    <sheetView workbookViewId="0">
      <selection activeCell="B12" sqref="B12"/>
    </sheetView>
  </sheetViews>
  <sheetFormatPr defaultRowHeight="14.5" x14ac:dyDescent="0.35"/>
  <cols>
    <col min="1" max="1" width="25" customWidth="1"/>
    <col min="2" max="2" width="10.453125" bestFit="1" customWidth="1"/>
  </cols>
  <sheetData>
    <row r="1" spans="1:5" x14ac:dyDescent="0.35">
      <c r="A1" s="1" t="s">
        <v>36</v>
      </c>
      <c r="B1" s="2" t="s">
        <v>37</v>
      </c>
    </row>
    <row r="2" spans="1:5" x14ac:dyDescent="0.35">
      <c r="A2" s="5" t="s">
        <v>38</v>
      </c>
      <c r="B2" s="6" t="s">
        <v>51</v>
      </c>
    </row>
    <row r="3" spans="1:5" x14ac:dyDescent="0.35">
      <c r="A3" s="5" t="s">
        <v>39</v>
      </c>
      <c r="B3" s="6">
        <v>10</v>
      </c>
    </row>
    <row r="4" spans="1:5" x14ac:dyDescent="0.35">
      <c r="A4" s="5" t="s">
        <v>40</v>
      </c>
      <c r="B4" s="7">
        <v>0</v>
      </c>
    </row>
    <row r="5" spans="1:5" x14ac:dyDescent="0.35">
      <c r="A5" s="5" t="s">
        <v>41</v>
      </c>
      <c r="B5" s="8">
        <f>B3 / (1 + B4)</f>
        <v>10</v>
      </c>
    </row>
    <row r="6" spans="1:5" x14ac:dyDescent="0.35">
      <c r="A6" s="17" t="s">
        <v>42</v>
      </c>
      <c r="B6" s="6">
        <f>SUM(E12:E30)</f>
        <v>2.4025000000000003</v>
      </c>
    </row>
    <row r="7" spans="1:5" x14ac:dyDescent="0.35">
      <c r="A7" s="5" t="s">
        <v>43</v>
      </c>
      <c r="B7" s="7">
        <f>B6 / B5</f>
        <v>0.24025000000000002</v>
      </c>
    </row>
    <row r="8" spans="1:5" x14ac:dyDescent="0.35">
      <c r="A8" s="9" t="s">
        <v>44</v>
      </c>
      <c r="B8" s="8">
        <f>B5 - B6</f>
        <v>7.5975000000000001</v>
      </c>
    </row>
    <row r="11" spans="1:5" x14ac:dyDescent="0.35">
      <c r="A11" s="4" t="s">
        <v>45</v>
      </c>
      <c r="B11" s="4" t="s">
        <v>46</v>
      </c>
      <c r="C11" s="4" t="s">
        <v>47</v>
      </c>
      <c r="D11" s="4" t="s">
        <v>48</v>
      </c>
      <c r="E11" s="4" t="s">
        <v>49</v>
      </c>
    </row>
    <row r="12" spans="1:5" x14ac:dyDescent="0.35">
      <c r="A12" s="12" t="s">
        <v>34</v>
      </c>
      <c r="B12" s="12">
        <v>5</v>
      </c>
      <c r="C12" s="14" t="str">
        <f>IFERROR(VLOOKUP(A12, Ingredients!A:C, 3, FALSE), "")</f>
        <v>pcs</v>
      </c>
      <c r="D12" s="13">
        <f>IFERROR(VLOOKUP(A12, Ingredients!A:D, 2, FALSE), 0)</f>
        <v>0.15</v>
      </c>
      <c r="E12" s="13">
        <f t="shared" ref="E12:E30" si="0">IF(OR(C12="g",C12="ml"),(B12/1000)*D12, B12*D12)</f>
        <v>0.75</v>
      </c>
    </row>
    <row r="13" spans="1:5" x14ac:dyDescent="0.35">
      <c r="A13" s="12" t="s">
        <v>21</v>
      </c>
      <c r="B13" s="12">
        <v>1</v>
      </c>
      <c r="C13" s="14" t="str">
        <f>IFERROR(VLOOKUP(A13, Ingredients!A:C, 3, FALSE), "")</f>
        <v>l</v>
      </c>
      <c r="D13" s="13">
        <f>IFERROR(VLOOKUP(A13, Ingredients!A:D, 2, FALSE), 0)</f>
        <v>0.68</v>
      </c>
      <c r="E13" s="13">
        <f t="shared" si="0"/>
        <v>0.68</v>
      </c>
    </row>
    <row r="14" spans="1:5" x14ac:dyDescent="0.35">
      <c r="A14" s="12" t="s">
        <v>23</v>
      </c>
      <c r="B14" s="12">
        <v>250</v>
      </c>
      <c r="C14" s="14" t="s">
        <v>52</v>
      </c>
      <c r="D14" s="13">
        <f>IFERROR(VLOOKUP(A14, Ingredients!A:D, 2, FALSE), 0)</f>
        <v>3.89</v>
      </c>
      <c r="E14" s="13">
        <f t="shared" si="0"/>
        <v>0.97250000000000003</v>
      </c>
    </row>
    <row r="15" spans="1:5" x14ac:dyDescent="0.35">
      <c r="A15" s="12"/>
      <c r="B15" s="12"/>
      <c r="C15" s="14" t="str">
        <f>IFERROR(VLOOKUP(A15, Ingredients!A:C, 3, FALSE), "")</f>
        <v/>
      </c>
      <c r="D15" s="13">
        <f>IFERROR(VLOOKUP(A15, Ingredients!A:D, 2, FALSE), 0)</f>
        <v>0</v>
      </c>
      <c r="E15" s="13">
        <f t="shared" si="0"/>
        <v>0</v>
      </c>
    </row>
    <row r="16" spans="1:5" x14ac:dyDescent="0.35">
      <c r="A16" s="12"/>
      <c r="B16" s="12"/>
      <c r="C16" s="14" t="str">
        <f>IFERROR(VLOOKUP(A16, Ingredients!A:C, 3, FALSE), "")</f>
        <v/>
      </c>
      <c r="D16" s="13">
        <f>IFERROR(VLOOKUP(A16, Ingredients!A:D, 2, FALSE), 0)</f>
        <v>0</v>
      </c>
      <c r="E16" s="13">
        <f t="shared" si="0"/>
        <v>0</v>
      </c>
    </row>
    <row r="17" spans="1:5" x14ac:dyDescent="0.35">
      <c r="A17" s="12"/>
      <c r="B17" s="12"/>
      <c r="C17" s="14" t="str">
        <f>IFERROR(VLOOKUP(A17, Ingredients!A:C, 3, FALSE), "")</f>
        <v/>
      </c>
      <c r="D17" s="13">
        <f>IFERROR(VLOOKUP(A17, Ingredients!A:D, 2, FALSE), 0)</f>
        <v>0</v>
      </c>
      <c r="E17" s="13">
        <f t="shared" si="0"/>
        <v>0</v>
      </c>
    </row>
    <row r="18" spans="1:5" x14ac:dyDescent="0.35">
      <c r="A18" s="12"/>
      <c r="B18" s="12"/>
      <c r="C18" s="14" t="str">
        <f>IFERROR(VLOOKUP(A18, Ingredients!A:C, 3, FALSE), "")</f>
        <v/>
      </c>
      <c r="D18" s="13">
        <f>IFERROR(VLOOKUP(A18, Ingredients!A:D, 2, FALSE), 0)</f>
        <v>0</v>
      </c>
      <c r="E18" s="13">
        <f t="shared" si="0"/>
        <v>0</v>
      </c>
    </row>
    <row r="19" spans="1:5" x14ac:dyDescent="0.35">
      <c r="A19" s="12"/>
      <c r="B19" s="12"/>
      <c r="C19" s="14" t="str">
        <f>IFERROR(VLOOKUP(A19, Ingredients!A:C, 3, FALSE), "")</f>
        <v/>
      </c>
      <c r="D19" s="13">
        <f>IFERROR(VLOOKUP(A19, Ingredients!A:D, 2, FALSE), 0)</f>
        <v>0</v>
      </c>
      <c r="E19" s="13">
        <f t="shared" si="0"/>
        <v>0</v>
      </c>
    </row>
    <row r="20" spans="1:5" x14ac:dyDescent="0.35">
      <c r="A20" s="12"/>
      <c r="B20" s="12"/>
      <c r="C20" s="14" t="str">
        <f>IFERROR(VLOOKUP(A20, Ingredients!A:C, 3, FALSE), "")</f>
        <v/>
      </c>
      <c r="D20" s="13">
        <f>IFERROR(VLOOKUP(A20, Ingredients!A:D, 2, FALSE), 0)</f>
        <v>0</v>
      </c>
      <c r="E20" s="13">
        <f t="shared" si="0"/>
        <v>0</v>
      </c>
    </row>
    <row r="21" spans="1:5" x14ac:dyDescent="0.35">
      <c r="A21" s="12"/>
      <c r="B21" s="12"/>
      <c r="C21" s="14" t="str">
        <f>IFERROR(VLOOKUP(A21, Ingredients!A:C, 3, FALSE), "")</f>
        <v/>
      </c>
      <c r="D21" s="13">
        <f>IFERROR(VLOOKUP(A21, Ingredients!A:D, 2, FALSE), 0)</f>
        <v>0</v>
      </c>
      <c r="E21" s="13">
        <f t="shared" si="0"/>
        <v>0</v>
      </c>
    </row>
    <row r="22" spans="1:5" x14ac:dyDescent="0.35">
      <c r="A22" s="12"/>
      <c r="B22" s="12"/>
      <c r="C22" s="14" t="str">
        <f>IFERROR(VLOOKUP(A22, Ingredients!A:C, 3, FALSE), "")</f>
        <v/>
      </c>
      <c r="D22" s="13">
        <f>IFERROR(VLOOKUP(A22, Ingredients!A:D, 2, FALSE), 0)</f>
        <v>0</v>
      </c>
      <c r="E22" s="13">
        <f t="shared" si="0"/>
        <v>0</v>
      </c>
    </row>
    <row r="23" spans="1:5" x14ac:dyDescent="0.35">
      <c r="A23" s="12"/>
      <c r="B23" s="12"/>
      <c r="C23" s="14" t="str">
        <f>IFERROR(VLOOKUP(A23, Ingredients!A:C, 3, FALSE), "")</f>
        <v/>
      </c>
      <c r="D23" s="13">
        <f>IFERROR(VLOOKUP(A23, Ingredients!A:D, 2, FALSE), 0)</f>
        <v>0</v>
      </c>
      <c r="E23" s="13">
        <f t="shared" si="0"/>
        <v>0</v>
      </c>
    </row>
    <row r="24" spans="1:5" x14ac:dyDescent="0.35">
      <c r="A24" s="12"/>
      <c r="B24" s="12"/>
      <c r="C24" s="14" t="str">
        <f>IFERROR(VLOOKUP(A24, Ingredients!A:C, 3, FALSE), "")</f>
        <v/>
      </c>
      <c r="D24" s="13">
        <f>IFERROR(VLOOKUP(A24, Ingredients!A:D, 2, FALSE), 0)</f>
        <v>0</v>
      </c>
      <c r="E24" s="13">
        <f t="shared" si="0"/>
        <v>0</v>
      </c>
    </row>
    <row r="25" spans="1:5" x14ac:dyDescent="0.35">
      <c r="A25" s="12"/>
      <c r="B25" s="12"/>
      <c r="C25" s="14" t="str">
        <f>IFERROR(VLOOKUP(A25, Ingredients!A:C, 3, FALSE), "")</f>
        <v/>
      </c>
      <c r="D25" s="13">
        <f>IFERROR(VLOOKUP(A25, Ingredients!A:D, 2, FALSE), 0)</f>
        <v>0</v>
      </c>
      <c r="E25" s="13">
        <f t="shared" si="0"/>
        <v>0</v>
      </c>
    </row>
    <row r="26" spans="1:5" x14ac:dyDescent="0.35">
      <c r="A26" s="12"/>
      <c r="B26" s="12"/>
      <c r="C26" s="14" t="str">
        <f>IFERROR(VLOOKUP(A26, Ingredients!A:C, 3, FALSE), "")</f>
        <v/>
      </c>
      <c r="D26" s="13">
        <f>IFERROR(VLOOKUP(A26, Ingredients!A:D, 2, FALSE), 0)</f>
        <v>0</v>
      </c>
      <c r="E26" s="13">
        <f t="shared" si="0"/>
        <v>0</v>
      </c>
    </row>
    <row r="27" spans="1:5" x14ac:dyDescent="0.35">
      <c r="A27" s="12"/>
      <c r="B27" s="12"/>
      <c r="C27" s="14" t="str">
        <f>IFERROR(VLOOKUP(A27, Ingredients!A:C, 3, FALSE), "")</f>
        <v/>
      </c>
      <c r="D27" s="13">
        <f>IFERROR(VLOOKUP(A27, Ingredients!A:D, 2, FALSE), 0)</f>
        <v>0</v>
      </c>
      <c r="E27" s="13">
        <f t="shared" si="0"/>
        <v>0</v>
      </c>
    </row>
    <row r="28" spans="1:5" x14ac:dyDescent="0.35">
      <c r="A28" s="12"/>
      <c r="B28" s="12"/>
      <c r="C28" s="14" t="str">
        <f>IFERROR(VLOOKUP(A28, Ingredients!A:C, 3, FALSE), "")</f>
        <v/>
      </c>
      <c r="D28" s="13">
        <f>IFERROR(VLOOKUP(A28, Ingredients!A:D, 2, FALSE), 0)</f>
        <v>0</v>
      </c>
      <c r="E28" s="13">
        <f t="shared" si="0"/>
        <v>0</v>
      </c>
    </row>
    <row r="29" spans="1:5" x14ac:dyDescent="0.35">
      <c r="A29" s="12"/>
      <c r="B29" s="12"/>
      <c r="C29" s="14" t="str">
        <f>IFERROR(VLOOKUP(A29, Ingredients!A:C, 3, FALSE), "")</f>
        <v/>
      </c>
      <c r="D29" s="13">
        <f>IFERROR(VLOOKUP(A29, Ingredients!A:D, 2, FALSE), 0)</f>
        <v>0</v>
      </c>
      <c r="E29" s="13">
        <f t="shared" si="0"/>
        <v>0</v>
      </c>
    </row>
    <row r="30" spans="1:5" x14ac:dyDescent="0.35">
      <c r="A30" s="12"/>
      <c r="B30" s="12"/>
      <c r="C30" s="14" t="str">
        <f>IFERROR(VLOOKUP(A30, Ingredients!A:C, 3, FALSE), "")</f>
        <v/>
      </c>
      <c r="D30" s="13">
        <f>IFERROR(VLOOKUP(A30, Ingredients!A:D, 2, FALSE), 0)</f>
        <v>0</v>
      </c>
      <c r="E30" s="13">
        <f t="shared" si="0"/>
        <v>0</v>
      </c>
    </row>
  </sheetData>
  <dataValidations count="1">
    <dataValidation type="list" allowBlank="1" showInputMessage="1" showErrorMessage="1" sqref="C12:C30" xr:uid="{E9583A4E-6D55-4B52-8D21-43A91B35CFDF}">
      <formula1>"Kg,g,L,ml,Pcs"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0E5CB7-58BE-497C-A1DB-0C448871099D}">
          <x14:formula1>
            <xm:f>Ingredients!$A:$A</xm:f>
          </x14:formula1>
          <xm:sqref>A12:A30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4CDD-8071-4CD2-8235-FF975E69480A}">
  <dimension ref="A1"/>
  <sheetViews>
    <sheetView workbookViewId="0">
      <selection activeCell="R5" sqref="R5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Ingredients</vt:lpstr>
      <vt:lpstr>Omelete</vt:lpstr>
      <vt:lpstr>Recipe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Franko Hysenllari</cp:lastModifiedBy>
  <dcterms:created xsi:type="dcterms:W3CDTF">2026-04-19T06:37:15Z</dcterms:created>
  <dcterms:modified xsi:type="dcterms:W3CDTF">2026-04-19T21:07:19Z</dcterms:modified>
</cp:coreProperties>
</file>