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esktop\"/>
    </mc:Choice>
  </mc:AlternateContent>
  <xr:revisionPtr revIDLastSave="0" documentId="13_ncr:1_{364503EC-F697-4B90-9AF1-62AAA03050B0}" xr6:coauthVersionLast="47" xr6:coauthVersionMax="47" xr10:uidLastSave="{00000000-0000-0000-0000-000000000000}"/>
  <bookViews>
    <workbookView xWindow="-110" yWindow="-110" windowWidth="25820" windowHeight="15500" tabRatio="847" xr2:uid="{00000000-000D-0000-FFFF-FFFF00000000}"/>
  </bookViews>
  <sheets>
    <sheet name="Menu" sheetId="1" r:id="rId1"/>
    <sheet name="KAZOULIS" sheetId="2" r:id="rId2"/>
    <sheet name="RHODIAN" sheetId="17" r:id="rId3"/>
    <sheet name="CHRISTODOULIDES" sheetId="4" r:id="rId4"/>
    <sheet name="Εταιρεία_Δ" sheetId="5" r:id="rId5"/>
    <sheet name="Εταιρεία_Ε" sheetId="6" r:id="rId6"/>
    <sheet name="Εταιρεία_Ζ" sheetId="7" r:id="rId7"/>
    <sheet name="Εταιρεία_Η" sheetId="8" r:id="rId8"/>
    <sheet name="Εταιρεία_Θ" sheetId="9" r:id="rId9"/>
    <sheet name="Εταιρεία_Ι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4" l="1"/>
  <c r="L2" i="7"/>
  <c r="H2" i="10"/>
  <c r="L2" i="10" s="1"/>
  <c r="H2" i="9"/>
  <c r="L2" i="9" s="1"/>
  <c r="H2" i="8"/>
  <c r="L2" i="8" s="1"/>
  <c r="H2" i="7"/>
  <c r="H2" i="6"/>
  <c r="L2" i="6" s="1"/>
  <c r="L2" i="5"/>
  <c r="H2" i="5"/>
  <c r="H3" i="17"/>
  <c r="L17" i="17"/>
  <c r="L18" i="17"/>
  <c r="L19" i="17"/>
  <c r="H2" i="17"/>
  <c r="L2" i="17" s="1"/>
  <c r="L3" i="17"/>
  <c r="H4" i="17"/>
  <c r="L4" i="17" s="1"/>
  <c r="H5" i="17"/>
  <c r="L5" i="17" s="1"/>
  <c r="H6" i="17"/>
  <c r="L6" i="17" s="1"/>
  <c r="H7" i="17"/>
  <c r="L7" i="17" s="1"/>
  <c r="H8" i="17"/>
  <c r="L8" i="17" s="1"/>
  <c r="H9" i="17"/>
  <c r="L9" i="17" s="1"/>
  <c r="H10" i="17"/>
  <c r="L10" i="17" s="1"/>
  <c r="H11" i="17"/>
  <c r="L11" i="17" s="1"/>
  <c r="H12" i="17"/>
  <c r="L12" i="17" s="1"/>
  <c r="H13" i="17"/>
  <c r="L13" i="17" s="1"/>
  <c r="H14" i="17"/>
  <c r="L14" i="17" s="1"/>
  <c r="H15" i="17"/>
  <c r="L15" i="17" s="1"/>
  <c r="H16" i="17"/>
  <c r="L16" i="17" s="1"/>
  <c r="H17" i="17"/>
  <c r="H18" i="17"/>
  <c r="H19" i="17"/>
  <c r="H36" i="2"/>
  <c r="L36" i="2" s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37" i="2"/>
  <c r="L37" i="2" s="1"/>
  <c r="H38" i="2"/>
  <c r="L38" i="2" s="1"/>
  <c r="H34" i="2"/>
  <c r="L34" i="2" s="1"/>
  <c r="H35" i="2"/>
  <c r="L35" i="2" s="1"/>
  <c r="H30" i="2"/>
  <c r="L30" i="2" s="1"/>
  <c r="H31" i="2"/>
  <c r="L31" i="2" s="1"/>
  <c r="H32" i="2"/>
  <c r="L32" i="2" s="1"/>
  <c r="H33" i="2"/>
  <c r="L33" i="2" s="1"/>
  <c r="H29" i="2"/>
  <c r="L29" i="2" s="1"/>
  <c r="H28" i="2"/>
  <c r="L28" i="2" s="1"/>
  <c r="H27" i="2"/>
  <c r="L27" i="2" s="1"/>
  <c r="H26" i="2"/>
  <c r="L26" i="2" s="1"/>
  <c r="H25" i="2"/>
  <c r="L25" i="2" s="1"/>
  <c r="H24" i="2"/>
  <c r="L24" i="2" s="1"/>
  <c r="H22" i="2"/>
  <c r="L22" i="2" s="1"/>
  <c r="H21" i="2"/>
  <c r="L21" i="2" s="1"/>
  <c r="H23" i="2"/>
  <c r="L23" i="2" s="1"/>
  <c r="H20" i="2"/>
  <c r="L20" i="2" s="1"/>
  <c r="H19" i="2"/>
  <c r="L19" i="2" s="1"/>
  <c r="H19" i="4"/>
  <c r="H20" i="4"/>
  <c r="H18" i="4"/>
  <c r="H17" i="4"/>
  <c r="H16" i="4"/>
  <c r="H15" i="4"/>
  <c r="H14" i="4"/>
  <c r="H13" i="4"/>
  <c r="H12" i="4"/>
  <c r="H11" i="4"/>
  <c r="H10" i="4"/>
  <c r="H9" i="4"/>
  <c r="H8" i="4"/>
  <c r="H7" i="4"/>
  <c r="H5" i="4"/>
  <c r="H6" i="4"/>
  <c r="H4" i="4"/>
  <c r="H3" i="4"/>
  <c r="H2" i="4"/>
  <c r="H3" i="2"/>
  <c r="L3" i="2" s="1"/>
  <c r="H2" i="2"/>
  <c r="L2" i="2" s="1"/>
  <c r="H7" i="2"/>
  <c r="L7" i="2" s="1"/>
  <c r="H6" i="2"/>
  <c r="L6" i="2" s="1"/>
  <c r="H5" i="2"/>
  <c r="L5" i="2" s="1"/>
  <c r="H4" i="2"/>
  <c r="L4" i="2" s="1"/>
  <c r="H8" i="2"/>
  <c r="L8" i="2" s="1"/>
  <c r="H9" i="2"/>
  <c r="L9" i="2" s="1"/>
  <c r="H16" i="2"/>
  <c r="H17" i="2"/>
  <c r="L17" i="2" s="1"/>
  <c r="H13" i="2"/>
  <c r="L13" i="2" s="1"/>
  <c r="H14" i="2"/>
  <c r="L14" i="2" s="1"/>
  <c r="H12" i="2"/>
  <c r="L12" i="2" s="1"/>
  <c r="H11" i="2"/>
  <c r="L11" i="2" s="1"/>
  <c r="H10" i="2"/>
  <c r="L10" i="2" s="1"/>
  <c r="H18" i="2"/>
  <c r="L18" i="2" s="1"/>
  <c r="H15" i="2"/>
  <c r="L15" i="2" s="1"/>
  <c r="B10" i="1"/>
  <c r="B17" i="1"/>
  <c r="B12" i="1"/>
  <c r="B11" i="1"/>
  <c r="B14" i="1"/>
  <c r="B13" i="1"/>
  <c r="B16" i="1"/>
  <c r="B15" i="1"/>
  <c r="L16" i="2" l="1"/>
  <c r="B9" i="1"/>
  <c r="H5" i="1"/>
  <c r="D26" i="1" a="1"/>
  <c r="D26" i="1" l="1"/>
  <c r="J26" i="1"/>
  <c r="B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<sst xmlns="http://schemas.openxmlformats.org/spreadsheetml/2006/main" count="466" uniqueCount="126">
  <si>
    <t>Company Name</t>
  </si>
  <si>
    <t>Εταιρεία_Δ</t>
  </si>
  <si>
    <t>Εταιρεία_Ε</t>
  </si>
  <si>
    <t>Εταιρεία_Ζ</t>
  </si>
  <si>
    <t>SUMMARY DASHBOARD</t>
  </si>
  <si>
    <t>Total Amount</t>
  </si>
  <si>
    <t>Date</t>
  </si>
  <si>
    <t>Quantity</t>
  </si>
  <si>
    <t>Total</t>
  </si>
  <si>
    <t>Unit Price</t>
  </si>
  <si>
    <t>Discount (%)</t>
  </si>
  <si>
    <t>Invoice ID</t>
  </si>
  <si>
    <t xml:space="preserve">Search Product </t>
  </si>
  <si>
    <t>Product</t>
  </si>
  <si>
    <t>Net Cost</t>
  </si>
  <si>
    <t>TOTAL</t>
  </si>
  <si>
    <t>Εταιρεία_Η</t>
  </si>
  <si>
    <t>Εταιρεία_Θ</t>
  </si>
  <si>
    <t>Εταιρεία_Ι</t>
  </si>
  <si>
    <t>Ιανουάριος</t>
  </si>
  <si>
    <t>Select Month</t>
  </si>
  <si>
    <t>Φεβρουάριος</t>
  </si>
  <si>
    <t>Μάρτιος</t>
  </si>
  <si>
    <t>Απρίλιος</t>
  </si>
  <si>
    <t>Ιούνιος</t>
  </si>
  <si>
    <t>Ιούλιος</t>
  </si>
  <si>
    <t>Αύγουστος</t>
  </si>
  <si>
    <t>Σεπτέμβριος</t>
  </si>
  <si>
    <t>Δεκέμβριος</t>
  </si>
  <si>
    <t>Οκτώβριος</t>
  </si>
  <si>
    <t>Νοέμβριος</t>
  </si>
  <si>
    <t>Μάιος</t>
  </si>
  <si>
    <t>Select Year</t>
  </si>
  <si>
    <t>RHODIAN</t>
  </si>
  <si>
    <t>MOS ΑΦΡΩΔΗΣ ΟΙΝΟΣ CAIR 750ml</t>
  </si>
  <si>
    <t>TAX (%)</t>
  </si>
  <si>
    <t>WINE</t>
  </si>
  <si>
    <t>PFANNER ΠΟΡΤΟΚΑΛΙ 2L</t>
  </si>
  <si>
    <t>ΑΜΠΕΛΗΣΙΟΥΣ ΕΡΥΘΡΟΣ ΗΜΙΓ. 24x250gr</t>
  </si>
  <si>
    <t>ΑΜΠΕΛΗΣΙΟΥΣ ΕΡΥΘΡΟΣ ΞΗΡΟΣ 24x250gr</t>
  </si>
  <si>
    <t>ΑΜΠΕΛΗΣΙΟΥΣ ΛΕΥΚΟΣ ΞΗΡΟΣ 24x250gr</t>
  </si>
  <si>
    <t>ΚΑΡΑΔΗΜΟΣ ΠΑΛΙΟΚΑΣΤΡΑ ΛΕΥΚΟΣ ΞΗΡΟΣ 750ml</t>
  </si>
  <si>
    <t>ΣΑΜΠΑΝΙΑ CAIR BRUT 750ml</t>
  </si>
  <si>
    <t>ΣΑΜΠΑΝΙΑ CAIR SEC 750ml</t>
  </si>
  <si>
    <t>ΛΑΖΑΡΙΔΗ ΜΑΓΙΚΟ ΒΟΥΝΟ ΛΕΥΚΟ 750ml</t>
  </si>
  <si>
    <t>ΝΙΚΟ ΛΑΖΑΡΙΔΗ CAVALIERI ΜΑΛΑΓΟΥΖΙΑ 750ml</t>
  </si>
  <si>
    <t>ΝΙΚΟ ΛΑΖΑΡΙΔΗ CAVALIERI ΑΣΥΡΤΙΚΟ 750ml</t>
  </si>
  <si>
    <t>UoM</t>
  </si>
  <si>
    <t>ΤΕΜ</t>
  </si>
  <si>
    <t>ΚΙΒ</t>
  </si>
  <si>
    <t>STELLA AROITS ΦΙΑΛΗ 24x330ml</t>
  </si>
  <si>
    <t>BEER</t>
  </si>
  <si>
    <t>ΜΥΘΟΣ ΜΠΙΡΑ ΦΙΑΛΗ 24x330ml</t>
  </si>
  <si>
    <t>ΚΕΝΑ ΠΛΑΣΤΙΚΑ ΜΥΘΟΣ 330ml</t>
  </si>
  <si>
    <t>ΚΕΝΕΣ ΓΥΑΛΙΝΕΣ ΦΙΑΛΕΣ ΜΥΘΟΣ 300ml</t>
  </si>
  <si>
    <t>ΦΙΑ</t>
  </si>
  <si>
    <t>KAZOULIS</t>
  </si>
  <si>
    <t>COFFEE</t>
  </si>
  <si>
    <t>ΚΑΦΕΣ ΕΣΠΡ.HAUSBRANDT 1kg Η.Η. Νο517</t>
  </si>
  <si>
    <t>ΚΙΛΑ</t>
  </si>
  <si>
    <t>ΤΣΑΙ ENGLISH CEYLON ΠΑΚ.25 ΤΕΜ. EILLES</t>
  </si>
  <si>
    <t>ΤΣΑΙ GREEN SUPERIOR ΠΑΚ.25 ΤΕΜ. EILLES</t>
  </si>
  <si>
    <t>URNEX CAFIZA ΒΑΡΕΛΑΚΙ ΚΑΘ/ΣΜΟΥ ΥΠΟΛ/ΤΩΝ 900gr</t>
  </si>
  <si>
    <t>ΜΠΙΣΚΟΤΟ ΚΑΡΑΜΕΛΑΣ HAUSBRANDT ΚΙΒ 300ΤΕΜ</t>
  </si>
  <si>
    <t>ΤΣΑΙ ASSAM SPECIAL ΠΑΚ.25 ΤΕΜ. EILLES</t>
  </si>
  <si>
    <t>ΠΟΤ.ΤΥΠ.ΔΙΑΦ. ART N.L 300 HAUS/ΣΥΣΚ 50ΑΔΑ</t>
  </si>
  <si>
    <t>ΕΦΚ</t>
  </si>
  <si>
    <t>ΤΑΜΠΛ. ESPRESSO HAUSBRANDT INTENSO ΣΥΜΒ. NESPRESSO</t>
  </si>
  <si>
    <t>ΚΑΦΕΣ ΕΛΛΗΝΙΚΟΣ ΞΑΝΘΟΣ</t>
  </si>
  <si>
    <t>ΚΑΦΕΣ ΦΙΛΤΡΟΥ COLOMBIA ΒΕΚΡΑΚΟΥ</t>
  </si>
  <si>
    <t>PANETTONE GLASSATO HAUSBRANDTTIN BOX 1KG</t>
  </si>
  <si>
    <t>ΔΙΑΦΗΜΙΣ ΗΜΕΡΟΛΟΓΙΟ AVEK</t>
  </si>
  <si>
    <t>ΤΣΑΙ ΑΡΩΜ EARL GREY BLUE</t>
  </si>
  <si>
    <t>ΜΡ/ ΚΑΠΑΚΙ ΠΙΠΙΛΑ ΜΑΥΡΗ Φ80 100ΤΜΧ ΑΜΕΡΙΚΑΝΙΚΟ (10Χ100)</t>
  </si>
  <si>
    <t xml:space="preserve">ΠΟΤ. 8oz / 50ΑΔΑ ΧΑΡΤ. LOGO HAUSBRANDT-BLACK </t>
  </si>
  <si>
    <t>ΚΑΠΑΚΙ ΓΙΑ ART 300-400/ΣΥΣΚ 100ΑΔΑ</t>
  </si>
  <si>
    <t>ΚΑΦΕΣ DECAFEIN. ΣΑΚ 250gr HAUSBRANDT</t>
  </si>
  <si>
    <t>ΖΑΧΑΡΗ ΜΕ ΣΤΕΒΙΑ ΠΑΚ. 400 ΤΕΜ FREEVIA</t>
  </si>
  <si>
    <t>CHRISTODOULIDES</t>
  </si>
  <si>
    <t>DLF PANCAKE 40X40gr</t>
  </si>
  <si>
    <t>ΤΔΑ-01-234923</t>
  </si>
  <si>
    <t>ΤΔΑ-01-235170</t>
  </si>
  <si>
    <t>DLF MIX MICRO ΧΕΙΡΟΠΟΙΗΤΑ ΨΩΜΑΚΙΑ 180X30gr</t>
  </si>
  <si>
    <t>FOOD</t>
  </si>
  <si>
    <t>ΤΔΑ-01-235313</t>
  </si>
  <si>
    <t>DLF HERITAGE ΚΡΟΥΑΣΑΝ ΒΟΥΤΥΡΟΥ 24% 60Χ70gr</t>
  </si>
  <si>
    <t>ΤΔΑ-01-235396</t>
  </si>
  <si>
    <t>DLF HERITAGE ΜΙΞ ΜΙΝΙ ΚΟΥΒΕΡ 105Χ40gr</t>
  </si>
  <si>
    <t>ΤΔΑ-01-235494</t>
  </si>
  <si>
    <t>KINGSMILL WHITE THICK 10X800gr</t>
  </si>
  <si>
    <t>ΤΔΑ-01-235750</t>
  </si>
  <si>
    <t>ΤΔΑ-01-235763</t>
  </si>
  <si>
    <t>ΓΑΛΑ ADORO ΜΕΡΙΔΑ 50Χ10Χ15gr</t>
  </si>
  <si>
    <t>ΤΔΑ-01-235865</t>
  </si>
  <si>
    <t>ΤΔΑ-01-236023</t>
  </si>
  <si>
    <t>DAIRY</t>
  </si>
  <si>
    <t>BH AMERICAN PANCAKES 40X40gr</t>
  </si>
  <si>
    <t>ΤΔΑ-01-236069</t>
  </si>
  <si>
    <t>ΜΑΡΜΕΛΑΔΑ ΜΕΡΙΔΑ ΦΡΑΟΥΛΑ BONNE MAMAN 4X15X30gr</t>
  </si>
  <si>
    <t>ΜΑΡΜΕΛΑΔΑ ΜΕΡΙΔΑ ΠΟΡΤΟΚΑΛΙ BONNE MAMAN 4X15X30gr</t>
  </si>
  <si>
    <t>ΤΔΑ-01-236113</t>
  </si>
  <si>
    <t>ΤΔΑ-01-236272</t>
  </si>
  <si>
    <t>ΤΔΑ-01-236497</t>
  </si>
  <si>
    <t>Description</t>
  </si>
  <si>
    <t xml:space="preserve">Invoice ID </t>
  </si>
  <si>
    <t xml:space="preserve">Total Spent </t>
  </si>
  <si>
    <t>BEVERAGE</t>
  </si>
  <si>
    <t>NON-FOOD</t>
  </si>
  <si>
    <t>Subtotal</t>
  </si>
  <si>
    <t>Μπίρες (Φιάλη, Κουτί, Βαρέλι)</t>
  </si>
  <si>
    <t>Ψωμιά, Croissants, Pancakes, Μαρμελάδες, Μπισκότα, Snacks</t>
  </si>
  <si>
    <t>Γάλα (Μερίδες/Φρέσκο), Ζάχαρη, Στέβια, Μέλι</t>
  </si>
  <si>
    <t>Ποτήρια, Καπάκια, Καλαμάκια, Καθαριστικά, Κενά</t>
  </si>
  <si>
    <t>Espresso (Beans/Capsules), Ελληνικός, Φίλτρου, Decaf</t>
  </si>
  <si>
    <t>Λευκά, Κόκκινα, Ροζέ, Σαμπάνιες</t>
  </si>
  <si>
    <t>Τσάι, Χυμοί, Αναψυκτικά, Νερά</t>
  </si>
  <si>
    <t>Select Company</t>
  </si>
  <si>
    <t>Category</t>
  </si>
  <si>
    <t>INCLUDES</t>
  </si>
  <si>
    <t>Select Order</t>
  </si>
  <si>
    <t>Descending</t>
  </si>
  <si>
    <t xml:space="preserve">Description </t>
  </si>
  <si>
    <t>Gin, Rum, Aperol, Ouzo</t>
  </si>
  <si>
    <t xml:space="preserve">ALCOHOL </t>
  </si>
  <si>
    <t xml:space="preserve"> </t>
  </si>
  <si>
    <t>ΠΑΚ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</si>
</sst>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XDR&quot;_-;\-* #,##0.00\ &quot;XDR&quot;_-;_-* &quot;-&quot;??\ &quot;XDR&quot;_-;_-@_-"/>
    <numFmt numFmtId="164" formatCode="_-[$€-2]\ * #,##0.00_-;\-[$€-2]\ * #,##0.00_-;_-[$€-2]\ * &quot;-&quot;??_-;_-@_-"/>
    <numFmt numFmtId="165" formatCode="_-[$€-2]\ * #,##0.000_-;\-[$€-2]\ * #,##0.000_-;_-[$€-2]\ * &quot;-&quot;?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20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B413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vertical="center" wrapText="1" readingOrder="1"/>
    </xf>
    <xf numFmtId="164" fontId="2" fillId="0" borderId="0" xfId="1" applyNumberFormat="1" applyFont="1" applyBorder="1" applyAlignment="1">
      <alignment vertical="center" wrapText="1" readingOrder="1"/>
    </xf>
    <xf numFmtId="164" fontId="1" fillId="0" borderId="0" xfId="1" applyNumberFormat="1" applyFont="1" applyBorder="1"/>
    <xf numFmtId="0" fontId="0" fillId="0" borderId="0" xfId="0" applyFont="1" applyBorder="1"/>
    <xf numFmtId="164" fontId="4" fillId="0" borderId="0" xfId="1" applyNumberFormat="1" applyFont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2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2" fillId="0" borderId="0" xfId="0" applyFont="1" applyBorder="1" applyAlignment="1">
      <alignment vertical="center" readingOrder="1"/>
    </xf>
    <xf numFmtId="164" fontId="2" fillId="0" borderId="0" xfId="1" applyNumberFormat="1" applyFont="1" applyBorder="1" applyAlignment="1">
      <alignment vertical="center" readingOrder="1"/>
    </xf>
    <xf numFmtId="164" fontId="4" fillId="0" borderId="0" xfId="1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Font="1"/>
    <xf numFmtId="0" fontId="5" fillId="0" borderId="0" xfId="0" applyFont="1" applyAlignment="1">
      <alignment vertical="center"/>
    </xf>
    <xf numFmtId="164" fontId="5" fillId="0" borderId="0" xfId="1" applyNumberFormat="1" applyFont="1" applyAlignment="1">
      <alignment vertical="center"/>
    </xf>
    <xf numFmtId="9" fontId="5" fillId="0" borderId="0" xfId="2" applyFont="1" applyAlignment="1">
      <alignment vertical="center"/>
    </xf>
    <xf numFmtId="164" fontId="1" fillId="0" borderId="0" xfId="1" applyNumberFormat="1" applyFont="1"/>
    <xf numFmtId="14" fontId="4" fillId="0" borderId="0" xfId="0" applyNumberFormat="1" applyFont="1" applyAlignment="1">
      <alignment vertical="center"/>
    </xf>
    <xf numFmtId="0" fontId="2" fillId="0" borderId="0" xfId="0" applyFont="1" applyAlignment="1">
      <alignment vertical="center" readingOrder="1"/>
    </xf>
    <xf numFmtId="164" fontId="4" fillId="0" borderId="0" xfId="2" applyNumberFormat="1" applyFont="1" applyAlignment="1">
      <alignment vertical="center"/>
    </xf>
    <xf numFmtId="164" fontId="5" fillId="0" borderId="0" xfId="2" applyNumberFormat="1" applyFont="1" applyAlignment="1">
      <alignment vertical="center"/>
    </xf>
    <xf numFmtId="0" fontId="4" fillId="0" borderId="0" xfId="1" applyNumberFormat="1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0" xfId="0" applyFont="1"/>
    <xf numFmtId="9" fontId="4" fillId="0" borderId="0" xfId="2" applyFont="1"/>
    <xf numFmtId="0" fontId="4" fillId="0" borderId="0" xfId="0" applyNumberFormat="1" applyFont="1"/>
    <xf numFmtId="164" fontId="4" fillId="0" borderId="0" xfId="2" applyNumberFormat="1" applyFont="1"/>
    <xf numFmtId="0" fontId="4" fillId="0" borderId="0" xfId="0" applyFont="1" applyBorder="1"/>
    <xf numFmtId="164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vertical="center"/>
    </xf>
    <xf numFmtId="165" fontId="4" fillId="0" borderId="0" xfId="0" applyNumberFormat="1" applyFont="1"/>
    <xf numFmtId="165" fontId="5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5" fillId="0" borderId="0" xfId="1" applyNumberFormat="1" applyFont="1" applyAlignment="1">
      <alignment vertical="center"/>
    </xf>
    <xf numFmtId="165" fontId="0" fillId="0" borderId="0" xfId="0" applyNumberFormat="1"/>
    <xf numFmtId="165" fontId="1" fillId="0" borderId="0" xfId="2" applyNumberFormat="1" applyFont="1" applyBorder="1"/>
    <xf numFmtId="165" fontId="1" fillId="0" borderId="0" xfId="2" applyNumberFormat="1" applyFont="1"/>
    <xf numFmtId="14" fontId="4" fillId="7" borderId="0" xfId="0" applyNumberFormat="1" applyFont="1" applyFill="1" applyAlignment="1">
      <alignment vertical="center"/>
    </xf>
    <xf numFmtId="0" fontId="4" fillId="7" borderId="0" xfId="0" applyNumberFormat="1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7" borderId="0" xfId="1" applyNumberFormat="1" applyFont="1" applyFill="1" applyAlignment="1">
      <alignment vertical="center"/>
    </xf>
    <xf numFmtId="165" fontId="4" fillId="7" borderId="0" xfId="1" applyNumberFormat="1" applyFont="1" applyFill="1" applyAlignment="1">
      <alignment vertical="center"/>
    </xf>
    <xf numFmtId="164" fontId="4" fillId="7" borderId="0" xfId="2" applyNumberFormat="1" applyFont="1" applyFill="1" applyAlignment="1">
      <alignment vertical="center"/>
    </xf>
    <xf numFmtId="9" fontId="4" fillId="7" borderId="0" xfId="2" applyFont="1" applyFill="1" applyAlignment="1">
      <alignment vertical="center"/>
    </xf>
    <xf numFmtId="164" fontId="4" fillId="7" borderId="0" xfId="1" applyNumberFormat="1" applyFont="1" applyFill="1" applyAlignment="1">
      <alignment vertical="center"/>
    </xf>
    <xf numFmtId="0" fontId="4" fillId="8" borderId="0" xfId="0" applyFont="1" applyFill="1"/>
    <xf numFmtId="0" fontId="7" fillId="2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4" fontId="9" fillId="9" borderId="5" xfId="1" applyNumberFormat="1" applyFont="1" applyFill="1" applyBorder="1" applyAlignment="1">
      <alignment horizontal="left" vertical="top"/>
    </xf>
    <xf numFmtId="14" fontId="10" fillId="0" borderId="0" xfId="0" applyNumberFormat="1" applyFont="1"/>
    <xf numFmtId="0" fontId="8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center" vertical="center"/>
    </xf>
    <xf numFmtId="164" fontId="10" fillId="0" borderId="0" xfId="0" applyNumberFormat="1" applyFont="1"/>
    <xf numFmtId="14" fontId="10" fillId="0" borderId="0" xfId="0" applyNumberFormat="1" applyFont="1" applyAlignment="1">
      <alignment horizontal="center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0" fillId="0" borderId="0" xfId="0" applyFont="1"/>
    <xf numFmtId="0" fontId="8" fillId="6" borderId="5" xfId="0" applyNumberFormat="1" applyFont="1" applyFill="1" applyBorder="1" applyAlignment="1">
      <alignment horizontal="center" vertical="center"/>
    </xf>
    <xf numFmtId="0" fontId="8" fillId="6" borderId="4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/>
    <xf numFmtId="0" fontId="8" fillId="3" borderId="4" xfId="0" applyNumberFormat="1" applyFont="1" applyFill="1" applyBorder="1" applyAlignment="1"/>
    <xf numFmtId="0" fontId="8" fillId="3" borderId="1" xfId="0" applyFont="1" applyFill="1" applyBorder="1" applyAlignment="1"/>
    <xf numFmtId="0" fontId="8" fillId="3" borderId="1" xfId="0" applyNumberFormat="1" applyFont="1" applyFill="1" applyBorder="1"/>
    <xf numFmtId="0" fontId="8" fillId="3" borderId="1" xfId="0" applyNumberFormat="1" applyFont="1" applyFill="1" applyBorder="1" applyAlignment="1">
      <alignment horizontal="center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/>
    <xf numFmtId="0" fontId="10" fillId="0" borderId="0" xfId="0" applyFont="1" applyBorder="1"/>
    <xf numFmtId="164" fontId="10" fillId="0" borderId="0" xfId="1" applyNumberFormat="1" applyFont="1" applyBorder="1"/>
    <xf numFmtId="14" fontId="10" fillId="0" borderId="0" xfId="0" applyNumberFormat="1" applyFont="1" applyBorder="1"/>
    <xf numFmtId="14" fontId="10" fillId="0" borderId="0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/>
    <xf numFmtId="164" fontId="10" fillId="0" borderId="0" xfId="0" applyNumberFormat="1" applyFont="1" applyBorder="1"/>
    <xf numFmtId="0" fontId="8" fillId="3" borderId="5" xfId="0" applyFont="1" applyFill="1" applyBorder="1" applyAlignment="1">
      <alignment horizontal="left" vertical="center"/>
    </xf>
    <xf numFmtId="0" fontId="8" fillId="3" borderId="5" xfId="1" applyNumberFormat="1" applyFont="1" applyFill="1" applyBorder="1" applyAlignment="1">
      <alignment horizontal="left" vertical="center"/>
    </xf>
    <xf numFmtId="0" fontId="8" fillId="3" borderId="5" xfId="0" applyNumberFormat="1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top"/>
    </xf>
    <xf numFmtId="0" fontId="8" fillId="3" borderId="4" xfId="0" applyFont="1" applyFill="1" applyBorder="1" applyAlignment="1">
      <alignment horizontal="left" vertical="top"/>
    </xf>
    <xf numFmtId="0" fontId="10" fillId="0" borderId="0" xfId="0" applyFont="1" applyBorder="1" applyAlignment="1"/>
    <xf numFmtId="0" fontId="10" fillId="4" borderId="1" xfId="0" applyFont="1" applyFill="1" applyBorder="1"/>
    <xf numFmtId="164" fontId="10" fillId="5" borderId="1" xfId="1" applyNumberFormat="1" applyFont="1" applyFill="1" applyBorder="1"/>
    <xf numFmtId="0" fontId="8" fillId="3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164" fontId="8" fillId="0" borderId="0" xfId="0" applyNumberFormat="1" applyFont="1" applyFill="1" applyBorder="1"/>
    <xf numFmtId="0" fontId="10" fillId="6" borderId="1" xfId="0" applyFont="1" applyFill="1" applyBorder="1" applyAlignment="1">
      <alignment horizontal="left"/>
    </xf>
    <xf numFmtId="0" fontId="10" fillId="0" borderId="1" xfId="0" applyFont="1" applyBorder="1" applyAlignment="1"/>
    <xf numFmtId="0" fontId="10" fillId="6" borderId="1" xfId="0" applyNumberFormat="1" applyFont="1" applyFill="1" applyBorder="1" applyAlignment="1">
      <alignment horizontal="left"/>
    </xf>
    <xf numFmtId="0" fontId="10" fillId="0" borderId="1" xfId="0" applyFont="1" applyBorder="1"/>
    <xf numFmtId="164" fontId="10" fillId="0" borderId="0" xfId="1" applyNumberFormat="1" applyFont="1"/>
    <xf numFmtId="164" fontId="8" fillId="5" borderId="5" xfId="1" applyNumberFormat="1" applyFont="1" applyFill="1" applyBorder="1" applyAlignment="1">
      <alignment horizontal="center" vertical="center"/>
    </xf>
    <xf numFmtId="164" fontId="8" fillId="5" borderId="6" xfId="1" applyNumberFormat="1" applyFont="1" applyFill="1" applyBorder="1" applyAlignment="1">
      <alignment horizontal="center" vertical="center"/>
    </xf>
    <xf numFmtId="164" fontId="8" fillId="5" borderId="4" xfId="1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164" fontId="9" fillId="9" borderId="4" xfId="1" applyNumberFormat="1" applyFont="1" applyFill="1" applyBorder="1" applyAlignment="1">
      <alignment horizontal="left" vertical="top"/>
    </xf>
  </cellXfs>
  <cellStyles count="3">
    <cellStyle name="Currency" xfId="1" builtinId="4"/>
    <cellStyle name="Normal" xfId="0" builtinId="0"/>
    <cellStyle name="Per cent" xfId="2" builtinId="5"/>
  </cellStyles>
  <dxfs count="126"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_-[$€-2]\ * #,##0.000_-;\-[$€-2]\ * #,##0.000_-;_-[$€-2]\ * &quot;-&quot;???_-;_-@_-"/>
      <alignment horizontal="general" vertical="center" textRotation="0" wrapText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[$€-2]\ * #,##0.000_-;\-[$€-2]\ * #,##0.000_-;_-[$€-2]\ * &quot;-&quot;?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[$€-2]\ * #,##0.000_-;\-[$€-2]\ * #,##0.000_-;_-[$€-2]\ * &quot;-&quot;?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[$€-2]\ * #,##0.000_-;\-[$€-2]\ * #,##0.000_-;_-[$€-2]\ * &quot;-&quot;?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[$€-2]\ * #,##0.000_-;\-[$€-2]\ * #,##0.000_-;_-[$€-2]\ * &quot;-&quot;?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[$€-2]\ * #,##0.000_-;\-[$€-2]\ * #,##0.000_-;_-[$€-2]\ * &quot;-&quot;?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[$€-2]\ * #,##0.000_-;\-[$€-2]\ * #,##0.000_-;_-[$€-2]\ * &quot;-&quot;???_-;_-@_-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[$€-2]\ * #,##0.000_-;\-[$€-2]\ * #,##0.000_-;_-[$€-2]\ * &quot;-&quot;???_-;_-@_-"/>
      <alignment horizontal="general" vertical="center" textRotation="0" wrapText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/>
    </dxf>
    <dxf>
      <font>
        <b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0" indent="0" justifyLastLine="0" shrinkToFit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[$€-2]\ * #,##0.00_-;\-[$€-2]\ * #,##0.00_-;_-[$€-2]\ 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_-[$€-2]\ * #,##0.000_-;\-[$€-2]\ * #,##0.000_-;_-[$€-2]\ * &quot;-&quot;?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EDB4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E345C3-3320-4A47-8311-D1BE72054718}" name="KAZOULIS" displayName="KAZOULIS" ref="A1:L38" totalsRowShown="0" headerRowDxfId="13" dataDxfId="12">
  <autoFilter ref="A1:L38" xr:uid="{81E345C3-3320-4A47-8311-D1BE72054718}"/>
  <sortState xmlns:xlrd2="http://schemas.microsoft.com/office/spreadsheetml/2017/richdata2" ref="A2:L38">
    <sortCondition descending="1" ref="A1:A38"/>
  </sortState>
  <tableColumns count="12">
    <tableColumn id="1" xr3:uid="{73DDC43C-90D9-4498-8606-C1E5FD01CE5B}" name="Date" dataDxfId="11"/>
    <tableColumn id="8" xr3:uid="{614333D6-C651-4C12-A821-C881ED069813}" name="Invoice ID" dataDxfId="10"/>
    <tableColumn id="2" xr3:uid="{AFFAE499-2CD7-457D-AB2C-6936BCBA7E9D}" name="Product" dataDxfId="9"/>
    <tableColumn id="3" xr3:uid="{10ACF80A-92A1-4E25-B9A0-1C47125A10CE}" name="Description" dataDxfId="8"/>
    <tableColumn id="4" xr3:uid="{3E693C27-EF5D-45C4-9BFA-6BC1AE61365F}" name="UoM" dataDxfId="7"/>
    <tableColumn id="5" xr3:uid="{9D15173A-B36B-4542-A042-B39D6A6E7871}" name="Quantity" dataDxfId="6" dataCellStyle="Currency"/>
    <tableColumn id="10" xr3:uid="{73CFE193-7CDE-4910-B710-C220E712BFDA}" name="Unit Price" dataDxfId="5" dataCellStyle="Currency">
      <calculatedColumnFormula>KAZOULIS[[#This Row],[UoM]]*KAZOULIS[[#This Row],[Quantity]]</calculatedColumnFormula>
    </tableColumn>
    <tableColumn id="6" xr3:uid="{3297ECF8-43DB-4704-BC2F-94F366938AC6}" name="Total" dataDxfId="4" dataCellStyle="Per cent">
      <calculatedColumnFormula>KAZOULIS[[#This Row],[Quantity]]*KAZOULIS[[#This Row],[Unit Price]]</calculatedColumnFormula>
    </tableColumn>
    <tableColumn id="11" xr3:uid="{EE1B3498-763C-422D-ACFE-AFC2482E8959}" name="Discount (%)" dataDxfId="3" dataCellStyle="Per cent"/>
    <tableColumn id="12" xr3:uid="{E541D54D-4238-402D-92F7-9C584DA2557E}" name="ΕΦΚ" dataDxfId="2" dataCellStyle="Per cent"/>
    <tableColumn id="9" xr3:uid="{A8D90724-72F2-468E-B904-C64B93B7210F}" name="TAX (%)" dataDxfId="1" dataCellStyle="Per cent"/>
    <tableColumn id="7" xr3:uid="{FD77A179-C7A8-4CEA-B996-71354AB9B67A}" name="Net Cost" dataDxfId="0" dataCellStyle="Currency">
      <calculatedColumnFormula>(KAZOULIS[[#This Row],[Total]] * (1 - KAZOULIS[[#This Row],[Discount (%)]]) + KAZOULIS[[#This Row],[ΕΦΚ]]) * (1 + KAZOULIS[[#This Row],[TAX (%)]])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806A4B73-4135-4A92-A110-F33076A56CB8}" name="Table64" displayName="Table64" ref="A1:L19" totalsRowShown="0" headerRowDxfId="125" dataDxfId="124">
  <autoFilter ref="A1:L19" xr:uid="{806A4B73-4135-4A92-A110-F33076A56CB8}"/>
  <tableColumns count="12">
    <tableColumn id="1" xr3:uid="{F5BE69BE-4AE5-4A6A-B25A-232C9E0E8169}" name="Date" dataDxfId="123"/>
    <tableColumn id="2" xr3:uid="{DEBDD542-2E96-46C7-A576-91BB1366497A}" name="Invoice ID " dataDxfId="122"/>
    <tableColumn id="3" xr3:uid="{71457080-4B72-4C07-B759-066952EBDB02}" name="Product" dataDxfId="121"/>
    <tableColumn id="4" xr3:uid="{D9B413E1-C380-44EE-BA61-C65B146C3819}" name="Description" dataDxfId="120"/>
    <tableColumn id="5" xr3:uid="{FB5CE392-CD47-4EB3-8166-F9193800C0D8}" name="UoM" dataDxfId="119"/>
    <tableColumn id="6" xr3:uid="{52AF8408-BCBA-44D3-BE96-13D55F15DB38}" name="Quantity" dataDxfId="118"/>
    <tableColumn id="7" xr3:uid="{66E0CB68-775C-4542-B692-99C0AEC7CDA4}" name="Unit Price" dataDxfId="117"/>
    <tableColumn id="12" xr3:uid="{2AB2926B-E72F-4749-B359-781C34E40E3F}" name="Total" dataDxfId="116">
      <calculatedColumnFormula>Table64[[#This Row],[Quantity]]*Table64[[#This Row],[Unit Price]]</calculatedColumnFormula>
    </tableColumn>
    <tableColumn id="8" xr3:uid="{EF9718F9-537E-4285-BFFE-A48294DE0D34}" name="Discount (%)" dataDxfId="115" dataCellStyle="Per cent"/>
    <tableColumn id="9" xr3:uid="{951902F3-F7D4-42E5-BE04-7D12B0B74B2E}" name="ΕΦΚ" dataDxfId="114"/>
    <tableColumn id="10" xr3:uid="{834132B1-96BE-47BB-A7AE-F83E53157E2D}" name="TAX (%)" dataDxfId="113" dataCellStyle="Per cent"/>
    <tableColumn id="11" xr3:uid="{7F56D855-049A-4245-8165-53F5A2C44543}" name="Net Cost" dataDxfId="112" dataCellStyle="Currency">
      <calculatedColumnFormula>(Table64[[#This Row],[Total]] * (1 - Table64[[#This Row],[Discount (%)]]) + Table64[[#This Row],[ΕΦΚ]]) * (1 + Table64[[#This Row],[TAX (%)]])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BA19827-B479-4FFD-855B-A0535681336C}" name="CHRISTODOULIDES" displayName="CHRISTODOULIDES" ref="A1:L33" totalsRowShown="0" headerRowDxfId="111" dataDxfId="110">
  <autoFilter ref="A1:L33" xr:uid="{EBA19827-B479-4FFD-855B-A0535681336C}"/>
  <tableColumns count="12">
    <tableColumn id="2" xr3:uid="{A19E101C-2361-4027-8176-A0FB07F9CCA9}" name="Date" dataDxfId="109"/>
    <tableColumn id="3" xr3:uid="{E2B5441E-2B68-4F90-9072-4DCF4671A68F}" name="Invoice ID" dataDxfId="108"/>
    <tableColumn id="1" xr3:uid="{3F0DDFE1-1F3F-424E-9769-4FB18FC9889F}" name="Product" dataDxfId="107"/>
    <tableColumn id="8" xr3:uid="{26685AAA-A8F3-4B66-B617-E9CA77C49B53}" name="Description" dataDxfId="106"/>
    <tableColumn id="11" xr3:uid="{34DFCE94-14F9-4DC7-A168-07715EF1E3C2}" name="UoM" dataDxfId="105"/>
    <tableColumn id="4" xr3:uid="{1062B390-E9BC-4A22-AD37-2842843D18E6}" name="Quantity" dataDxfId="104"/>
    <tableColumn id="5" xr3:uid="{8A9EBCD2-01DB-499C-8ABE-0BEFDD4C4E70}" name="Unit Price" dataDxfId="103" dataCellStyle="Currency"/>
    <tableColumn id="10" xr3:uid="{3D847D6A-A49C-437C-9A53-DB142C9F344E}" name="Total" dataDxfId="102" dataCellStyle="Currency">
      <calculatedColumnFormula>CHRISTODOULIDES[[#This Row],[Quantity]]*CHRISTODOULIDES[[#This Row],[Unit Price]]</calculatedColumnFormula>
    </tableColumn>
    <tableColumn id="6" xr3:uid="{0E7FBDA9-219A-4414-9B8E-26E14394B108}" name="Discount (%)" dataDxfId="101" dataCellStyle="Per cent">
      <calculatedColumnFormula>CHRISTODOULIDES[[#This Row],[Quantity]]*CHRISTODOULIDES[[#This Row],[Unit Price]]</calculatedColumnFormula>
    </tableColumn>
    <tableColumn id="12" xr3:uid="{38C34BB2-24C4-4BFE-A6FB-35175F9745E3}" name="ΕΦΚ" dataDxfId="100" dataCellStyle="Per cent"/>
    <tableColumn id="9" xr3:uid="{7AE4ED58-BE9B-4CD8-BF2F-A597EFA710AF}" name="TAX (%)" dataDxfId="99" dataCellStyle="Per cent"/>
    <tableColumn id="7" xr3:uid="{1C42FAAC-F60F-40D4-A261-A57D263DE63C}" name="Net Cost" dataDxfId="98" dataCellStyle="Currency">
      <calculatedColumnFormula>(CHRISTODOULIDES[[#This Row],[Total]] * (1 - CHRISTODOULIDES[[#This Row],[Discount (%)]]) + CHRISTODOULIDES[[#This Row],[ΕΦΚ]]) * (1 + CHRISTODOULIDES[[#This Row],[TAX (%)]])</calculatedColumnFormula>
    </tableColumn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FDAE68A-08F8-4ABF-923B-3837D21D90B4}" name="Table510133233" displayName="Table510133233" ref="A1:L5" totalsRowShown="0" headerRowDxfId="97" dataDxfId="96" headerRowCellStyle="Per cent">
  <autoFilter ref="A1:L5" xr:uid="{EFDAE68A-08F8-4ABF-923B-3837D21D90B4}"/>
  <tableColumns count="12">
    <tableColumn id="2" xr3:uid="{4299B40A-8485-48CA-B901-13418C19948F}" name="Date" dataDxfId="95"/>
    <tableColumn id="3" xr3:uid="{03230619-38B4-404F-B807-142D5F1A3082}" name="Invoice ID" dataDxfId="94"/>
    <tableColumn id="1" xr3:uid="{F8B8C199-2565-4922-AD91-1CE168896DCA}" name="Product" dataDxfId="93"/>
    <tableColumn id="8" xr3:uid="{ECAFCB52-88CE-4375-BB4B-8BBC19C676DE}" name="Description" dataDxfId="92"/>
    <tableColumn id="11" xr3:uid="{881CE383-8CFC-4062-BB6C-17F0AD04A311}" name="UoM" dataDxfId="91"/>
    <tableColumn id="4" xr3:uid="{6FC8FA4F-DBD1-4F00-92DE-4938873DCAB7}" name="Quantity" dataDxfId="90"/>
    <tableColumn id="5" xr3:uid="{724DD4B9-B47E-4900-810A-C6AB8D4D5E0E}" name="Unit Price" dataDxfId="89" dataCellStyle="Currency"/>
    <tableColumn id="10" xr3:uid="{7C62C34E-6752-42FC-AE5F-2AF71C72AD69}" name="Total" dataDxfId="88" dataCellStyle="Currency">
      <calculatedColumnFormula>Table510133233[[#This Row],[Quantity]]*Table510133233[[#This Row],[Unit Price]]</calculatedColumnFormula>
    </tableColumn>
    <tableColumn id="6" xr3:uid="{51317368-FFF2-4AE7-9323-9D1238F6A497}" name="Discount (%)" dataDxfId="87" dataCellStyle="Per cent"/>
    <tableColumn id="9" xr3:uid="{9B9D56C2-4FF2-4160-A84A-90D76D3E0C51}" name="ΕΦΚ" dataDxfId="86" dataCellStyle="Per cent"/>
    <tableColumn id="7" xr3:uid="{03CC99C3-493A-4426-967E-504125563994}" name="TAX (%)" dataDxfId="85" dataCellStyle="Per cent"/>
    <tableColumn id="12" xr3:uid="{6C0DA3F5-02EC-4DEB-875C-DC048DBEA4BA}" name="Net Cost" dataDxfId="84" dataCellStyle="Currency">
      <calculatedColumnFormula>(Table510133233[[#This Row],[Total]] * (1 - Table510133233[[#This Row],[Discount (%)]]) + Table510133233[[#This Row],[ΕΦΚ]]) * (1 + Table510133233[[#This Row],[TAX (%)]])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0496276-6DFD-4768-A7C1-FB0A7F1ECB04}" name="Table51013323367" displayName="Table51013323367" ref="A1:L5" totalsRowShown="0" headerRowDxfId="83" dataDxfId="82" headerRowCellStyle="Per cent">
  <autoFilter ref="A1:L5" xr:uid="{E0496276-6DFD-4768-A7C1-FB0A7F1ECB04}"/>
  <tableColumns count="12">
    <tableColumn id="2" xr3:uid="{5EB3B3D3-E531-429B-B345-6905D6829EC2}" name="Date" dataDxfId="81"/>
    <tableColumn id="3" xr3:uid="{28936BDB-B943-446B-9DC4-C9067861566A}" name="Invoice ID" dataDxfId="80"/>
    <tableColumn id="1" xr3:uid="{458AE6DF-2F20-43B2-B9BE-27C58042486F}" name="Product" dataDxfId="79"/>
    <tableColumn id="8" xr3:uid="{65109005-0626-4D54-9B99-F0DE91625BEA}" name="Description" dataDxfId="78"/>
    <tableColumn id="11" xr3:uid="{4485D307-6D6C-4DE7-A903-9F37EB88166C}" name="UoM" dataDxfId="77"/>
    <tableColumn id="4" xr3:uid="{A1FB9DD1-9D0D-4D8C-8C90-64478B79B03E}" name="Quantity" dataDxfId="76"/>
    <tableColumn id="5" xr3:uid="{15755466-5210-4BB2-987F-456C039314FF}" name="Unit Price" dataDxfId="75" dataCellStyle="Currency"/>
    <tableColumn id="10" xr3:uid="{C62FDAF7-F7BF-4764-9CAE-778C3D02AD0C}" name="Total" dataDxfId="74" dataCellStyle="Currency">
      <calculatedColumnFormula>Table51013323367[[#This Row],[Quantity]]*Table51013323367[[#This Row],[Unit Price]]</calculatedColumnFormula>
    </tableColumn>
    <tableColumn id="6" xr3:uid="{E92E1824-C565-4547-AA1F-FCCED2497DD7}" name="Discount (%)" dataDxfId="73" dataCellStyle="Per cent"/>
    <tableColumn id="9" xr3:uid="{14EF417E-6FE9-43D6-8E2A-8B7D64C6AAC0}" name="ΕΦΚ" dataDxfId="72" dataCellStyle="Per cent"/>
    <tableColumn id="7" xr3:uid="{A45FD252-6806-40F6-B56F-EB36D4BDB4A8}" name="TAX (%)" dataDxfId="71" dataCellStyle="Per cent"/>
    <tableColumn id="12" xr3:uid="{EF34C28E-CB05-49BC-B1A3-44E40D7B949B}" name="Net Cost" dataDxfId="70" dataCellStyle="Currency">
      <calculatedColumnFormula>(Table51013323367[[#This Row],[Total]] * (1 - Table51013323367[[#This Row],[Discount (%)]]) + Table51013323367[[#This Row],[ΕΦΚ]]) * (1 + Table51013323367[[#This Row],[TAX (%)]])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7821CFC1-C7A9-4503-BEA6-052E8A1480C5}" name="Table51013323370" displayName="Table51013323370" ref="A1:L5" totalsRowShown="0" headerRowDxfId="69" dataDxfId="68" headerRowCellStyle="Per cent">
  <autoFilter ref="A1:L5" xr:uid="{7821CFC1-C7A9-4503-BEA6-052E8A1480C5}"/>
  <tableColumns count="12">
    <tableColumn id="2" xr3:uid="{67CC684F-12BD-40D5-A1BC-716C71C8876E}" name="Date" dataDxfId="67"/>
    <tableColumn id="3" xr3:uid="{F3E6DB13-56C8-4710-B7D4-FC6EEFD0F07E}" name="Invoice ID" dataDxfId="66"/>
    <tableColumn id="1" xr3:uid="{9AF7162B-9A17-40C8-84BE-D373903A715B}" name="Product" dataDxfId="65"/>
    <tableColumn id="8" xr3:uid="{91EE7339-58AB-4419-AFD3-F85DA4EF54BC}" name="Description" dataDxfId="64"/>
    <tableColumn id="11" xr3:uid="{29E61C0C-FDFA-4162-A085-D2775C96F1C3}" name="UoM" dataDxfId="63"/>
    <tableColumn id="4" xr3:uid="{464ABACB-6B97-42F4-AE35-BC5A7F232161}" name="Quantity" dataDxfId="62"/>
    <tableColumn id="5" xr3:uid="{B08D1641-37B9-4833-9189-A7F0A62D3FE1}" name="Unit Price" dataDxfId="61" dataCellStyle="Currency"/>
    <tableColumn id="10" xr3:uid="{8882B71E-5717-4921-8E5E-C4381672D02D}" name="Total" dataDxfId="60" dataCellStyle="Currency">
      <calculatedColumnFormula>Table51013323370[[#This Row],[Quantity]]*Table51013323370[[#This Row],[Unit Price]]</calculatedColumnFormula>
    </tableColumn>
    <tableColumn id="6" xr3:uid="{8520385E-9ABC-4084-B0AE-1C90C7A77788}" name="Discount (%)" dataDxfId="59" dataCellStyle="Per cent"/>
    <tableColumn id="9" xr3:uid="{BBEA31FB-8326-49B7-A6CF-231BAE41A628}" name="ΕΦΚ" dataDxfId="58" dataCellStyle="Per cent"/>
    <tableColumn id="7" xr3:uid="{29CB2F4D-238F-4120-918A-D24A1EC638D0}" name="TAX (%)" dataDxfId="57" dataCellStyle="Per cent"/>
    <tableColumn id="12" xr3:uid="{6B2EF7A9-84E0-4E03-BA15-BD6E4BF1A3E7}" name="Net Cost" dataDxfId="56" dataCellStyle="Currency">
      <calculatedColumnFormula>(Table51013323370[[#This Row],[Total]] * (1 - Table51013323370[[#This Row],[Discount (%)]]) + Table51013323370[[#This Row],[ΕΦΚ]]) * (1 + Table51013323370[[#This Row],[TAX (%)]])</calculatedColumnFormula>
    </tableColumn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2970E99-03A0-479B-8837-C0F7D8EF8EE8}" name="Table5101332337071" displayName="Table5101332337071" ref="A1:L5" totalsRowShown="0" headerRowDxfId="55" dataDxfId="54" headerRowCellStyle="Per cent">
  <autoFilter ref="A1:L5" xr:uid="{02970E99-03A0-479B-8837-C0F7D8EF8EE8}"/>
  <tableColumns count="12">
    <tableColumn id="2" xr3:uid="{C534CD6E-F986-4821-8930-1130527C5882}" name="Date" dataDxfId="53"/>
    <tableColumn id="3" xr3:uid="{63FF2122-3B6D-44FA-9C03-74910C1AE882}" name="Invoice ID" dataDxfId="52"/>
    <tableColumn id="1" xr3:uid="{ACB9FC9B-8991-4A3D-A788-FF8D878C834C}" name="Product" dataDxfId="51"/>
    <tableColumn id="8" xr3:uid="{94DB3DCE-ED3D-49B5-9104-35E0D29E0445}" name="Description" dataDxfId="50"/>
    <tableColumn id="11" xr3:uid="{DB250D00-D15F-43B1-AD9D-F5F67D0A9437}" name="UoM" dataDxfId="49"/>
    <tableColumn id="4" xr3:uid="{8B7BD79A-95BC-4498-AAAB-38B544900F15}" name="Quantity" dataDxfId="48"/>
    <tableColumn id="5" xr3:uid="{C00740E4-F984-4028-91F7-56851A85B2C3}" name="Unit Price" dataDxfId="47" dataCellStyle="Currency"/>
    <tableColumn id="10" xr3:uid="{42CC0B4B-4011-4EEE-86ED-10FCC472DE69}" name="Total" dataDxfId="46" dataCellStyle="Currency">
      <calculatedColumnFormula>Table5101332337071[[#This Row],[Quantity]]*Table5101332337071[[#This Row],[Unit Price]]</calculatedColumnFormula>
    </tableColumn>
    <tableColumn id="6" xr3:uid="{12FF2450-97A3-43F9-B92C-99A13194D123}" name="Discount (%)" dataDxfId="45" dataCellStyle="Per cent"/>
    <tableColumn id="9" xr3:uid="{6D0D8614-2850-4348-AAEC-05112B9087D8}" name="ΕΦΚ" dataDxfId="44" dataCellStyle="Per cent"/>
    <tableColumn id="7" xr3:uid="{0C761DDB-A6A5-4A6C-AC94-A6FDF59983D8}" name="TAX (%)" dataDxfId="43" dataCellStyle="Per cent"/>
    <tableColumn id="12" xr3:uid="{516CFC3D-5B7F-43EC-A4FD-5F6337A45829}" name="Net Cost" dataDxfId="42" dataCellStyle="Currency">
      <calculatedColumnFormula>(Table5101332337071[[#This Row],[Total]] * (1 - Table5101332337071[[#This Row],[Discount (%)]]) + Table5101332337071[[#This Row],[ΕΦΚ]]) * (1 + Table5101332337071[[#This Row],[TAX (%)]])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A7E2813D-4DBB-4AED-91EA-5AD25C69D749}" name="Table5101332337072" displayName="Table5101332337072" ref="A1:L5" totalsRowShown="0" headerRowDxfId="41" dataDxfId="40" headerRowCellStyle="Per cent">
  <autoFilter ref="A1:L5" xr:uid="{A7E2813D-4DBB-4AED-91EA-5AD25C69D749}"/>
  <tableColumns count="12">
    <tableColumn id="2" xr3:uid="{72BB8363-8567-4911-A168-E6CB8C469DA9}" name="Date" dataDxfId="39"/>
    <tableColumn id="3" xr3:uid="{928D446D-EB8C-4C8D-951A-E590A2E133AB}" name="Invoice ID" dataDxfId="38"/>
    <tableColumn id="1" xr3:uid="{40040096-DCA7-40B5-8ED3-A7B787510306}" name="Product" dataDxfId="37"/>
    <tableColumn id="8" xr3:uid="{A9E1446C-0A84-4A7C-AD42-C92F58F17069}" name="Description" dataDxfId="36"/>
    <tableColumn id="11" xr3:uid="{F6FEAF2D-321C-463B-A3FE-3C9F573B0998}" name="UoM" dataDxfId="35"/>
    <tableColumn id="4" xr3:uid="{BE724ABF-F611-4F1D-BB06-0CBED8A8374F}" name="Quantity" dataDxfId="34"/>
    <tableColumn id="5" xr3:uid="{E9E54CB2-D2C4-4620-A99F-7CF0EDD818EA}" name="Unit Price" dataDxfId="33" dataCellStyle="Currency"/>
    <tableColumn id="10" xr3:uid="{7265363C-1037-447C-99D3-B7F7E8F6A1A0}" name="Total" dataDxfId="32" dataCellStyle="Currency">
      <calculatedColumnFormula>Table5101332337072[[#This Row],[Quantity]]*Table5101332337072[[#This Row],[Unit Price]]</calculatedColumnFormula>
    </tableColumn>
    <tableColumn id="6" xr3:uid="{5B6231B1-C196-4203-A8F5-DB6824FE970E}" name="Discount (%)" dataDxfId="31" dataCellStyle="Per cent"/>
    <tableColumn id="9" xr3:uid="{56CDCD7A-2438-4885-88FC-767248BB67AA}" name="ΕΦΚ" dataDxfId="30" dataCellStyle="Per cent"/>
    <tableColumn id="7" xr3:uid="{837DA461-4F60-4AC4-B4B8-B5513B45449A}" name="TAX (%)" dataDxfId="29" dataCellStyle="Per cent"/>
    <tableColumn id="12" xr3:uid="{3D7070A4-071C-4C8B-B4A3-CC4870BD5AFF}" name="Net Cost" dataDxfId="28" dataCellStyle="Currency">
      <calculatedColumnFormula>(Table5101332337072[[#This Row],[Total]] * (1 - Table5101332337072[[#This Row],[Discount (%)]]) + Table5101332337072[[#This Row],[ΕΦΚ]]) * (1 + Table5101332337072[[#This Row],[TAX (%)]])</calculatedColumnFormula>
    </tableColumn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98E28FE2-2BA7-440F-92E7-AA435E90118F}" name="Table5101332337073" displayName="Table5101332337073" ref="A1:L5" totalsRowShown="0" headerRowDxfId="27" dataDxfId="26" headerRowCellStyle="Per cent">
  <autoFilter ref="A1:L5" xr:uid="{98E28FE2-2BA7-440F-92E7-AA435E90118F}"/>
  <tableColumns count="12">
    <tableColumn id="2" xr3:uid="{63F61B2F-416E-4D3D-B2BB-C4E6927B84F2}" name="Date" dataDxfId="25"/>
    <tableColumn id="3" xr3:uid="{ACD7A2F5-204D-40BE-ABED-4495D803D74D}" name="Invoice ID" dataDxfId="24"/>
    <tableColumn id="1" xr3:uid="{ED3489C4-864D-4D27-861C-821403D3B820}" name="Product" dataDxfId="23"/>
    <tableColumn id="8" xr3:uid="{A63E843C-A96B-42D2-8A8A-CA70B2F26913}" name="Description" dataDxfId="22"/>
    <tableColumn id="11" xr3:uid="{B500644C-DF3D-42F8-A663-1385096C009E}" name="UoM" dataDxfId="21"/>
    <tableColumn id="4" xr3:uid="{23FFAC49-F4F1-4E88-BE55-5DDA406D7D37}" name="Quantity" dataDxfId="20"/>
    <tableColumn id="5" xr3:uid="{5A20639C-E29E-4F16-ABE3-44A2B5FCD56B}" name="Unit Price" dataDxfId="19" dataCellStyle="Currency"/>
    <tableColumn id="10" xr3:uid="{26873703-13BD-468E-A3F1-32A81C6002C3}" name="Total" dataDxfId="18" dataCellStyle="Currency">
      <calculatedColumnFormula>Table5101332337073[[#This Row],[Quantity]]*Table5101332337073[[#This Row],[Unit Price]]</calculatedColumnFormula>
    </tableColumn>
    <tableColumn id="6" xr3:uid="{F8ED57FF-141D-4E50-AE3B-8FF47CC85F4D}" name="Discount (%)" dataDxfId="17" dataCellStyle="Per cent"/>
    <tableColumn id="9" xr3:uid="{19120358-F348-435F-B6BD-397EA1A19A5D}" name="ΕΦΚ" dataDxfId="16" dataCellStyle="Per cent"/>
    <tableColumn id="7" xr3:uid="{0A43A963-6220-4800-B89F-1598E51D5EFB}" name="TAX (%)" dataDxfId="15" dataCellStyle="Per cent"/>
    <tableColumn id="12" xr3:uid="{674AAB6F-E878-4C93-A1BB-2A12DE716694}" name="Net Cost" dataDxfId="14" dataCellStyle="Currency">
      <calculatedColumnFormula>(Table5101332337073[[#This Row],[Total]] * (1 - Table5101332337073[[#This Row],[Discount (%)]]) + Table5101332337073[[#This Row],[ΕΦΚ]]) * (1 + Table5101332337073[[#This Row],[TAX (%)]])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1012"/>
  <sheetViews>
    <sheetView tabSelected="1" zoomScaleNormal="100" workbookViewId="0">
      <pane ySplit="1" topLeftCell="A2" activePane="bottomLeft" state="frozen"/>
      <selection pane="bottomLeft" activeCell="E17" sqref="E17:F17"/>
    </sheetView>
  </sheetViews>
  <sheetFormatPr defaultRowHeight="15.5"/>
  <cols>
    <col min="1" max="1" width="21.90625" style="66" bestFit="1" customWidth="1"/>
    <col min="2" max="2" width="15.26953125" style="102" bestFit="1" customWidth="1"/>
    <col min="3" max="3" width="10.6328125" style="51" bestFit="1" customWidth="1"/>
    <col min="4" max="4" width="11.7265625" style="56" bestFit="1" customWidth="1"/>
    <col min="5" max="5" width="9.81640625" style="74" bestFit="1" customWidth="1"/>
    <col min="6" max="6" width="8.81640625" style="75" customWidth="1"/>
    <col min="7" max="7" width="71.36328125" style="66" bestFit="1" customWidth="1"/>
    <col min="8" max="8" width="13.453125" style="55" bestFit="1" customWidth="1"/>
    <col min="9" max="10" width="10.81640625" style="55" bestFit="1" customWidth="1"/>
    <col min="11" max="12" width="8.7265625" style="66"/>
    <col min="13" max="13" width="9.7265625" style="66" bestFit="1" customWidth="1"/>
    <col min="14" max="16" width="8.7265625" style="66"/>
    <col min="17" max="17" width="14.08984375" style="66" bestFit="1" customWidth="1"/>
    <col min="18" max="16384" width="8.7265625" style="66"/>
  </cols>
  <sheetData>
    <row r="1" spans="1:10" s="76" customFormat="1" ht="25">
      <c r="A1" s="76" t="s">
        <v>124</v>
      </c>
      <c r="B1" s="77"/>
      <c r="C1" s="78"/>
      <c r="D1" s="79"/>
      <c r="E1" s="80"/>
      <c r="F1" s="81"/>
      <c r="G1" s="48" t="s">
        <v>4</v>
      </c>
    </row>
    <row r="2" spans="1:10" s="76" customFormat="1">
      <c r="B2" s="77"/>
      <c r="C2" s="78"/>
      <c r="D2" s="79"/>
      <c r="E2" s="81"/>
      <c r="F2" s="81"/>
      <c r="H2" s="82"/>
      <c r="I2" s="82"/>
      <c r="J2" s="82"/>
    </row>
    <row r="3" spans="1:10">
      <c r="A3" s="83" t="s">
        <v>0</v>
      </c>
      <c r="B3" s="84" t="s">
        <v>5</v>
      </c>
      <c r="E3" s="52" t="s">
        <v>116</v>
      </c>
      <c r="F3" s="53"/>
      <c r="G3" s="54" t="s">
        <v>56</v>
      </c>
      <c r="H3" s="85" t="s">
        <v>15</v>
      </c>
      <c r="I3" s="66"/>
    </row>
    <row r="4" spans="1:10">
      <c r="A4" s="86"/>
      <c r="B4" s="87"/>
      <c r="E4" s="62"/>
      <c r="F4" s="63"/>
      <c r="G4" s="88"/>
      <c r="H4" s="87"/>
      <c r="I4" s="66"/>
    </row>
    <row r="5" spans="1:10">
      <c r="A5" s="83" t="s">
        <v>32</v>
      </c>
      <c r="B5" s="89">
        <v>2026</v>
      </c>
      <c r="E5" s="52" t="s">
        <v>20</v>
      </c>
      <c r="F5" s="53"/>
      <c r="G5" s="60" t="s">
        <v>19</v>
      </c>
      <c r="H5" s="103">
        <f ca="1">SUMIFS(INDIRECT("'" &amp; G3 &amp; "'!L:L"),
        INDIRECT("'" &amp; G3 &amp; "'!A:A"), "&gt;=" &amp; DATE(G7, MATCH(G5, $Q$1001:$Q$1012, 0), 1),
        INDIRECT("'" &amp; G3 &amp; "'!A:A"), "&lt;=" &amp; EOMONTH(DATE(G7, MATCH(G5, $Q$1001:$Q$1012, 0), 1), 0))</f>
        <v>225.72469999999998</v>
      </c>
      <c r="I5" s="66"/>
    </row>
    <row r="6" spans="1:10">
      <c r="A6" s="86"/>
      <c r="B6" s="106"/>
      <c r="E6" s="57"/>
      <c r="F6" s="58"/>
      <c r="G6" s="64"/>
      <c r="H6" s="104"/>
      <c r="I6" s="66"/>
    </row>
    <row r="7" spans="1:10">
      <c r="A7" s="90" t="s">
        <v>105</v>
      </c>
      <c r="B7" s="50">
        <f ca="1">SUM(B9:B17)</f>
        <v>2888.2341047999998</v>
      </c>
      <c r="E7" s="52" t="s">
        <v>32</v>
      </c>
      <c r="F7" s="53"/>
      <c r="G7" s="61">
        <v>2026</v>
      </c>
      <c r="H7" s="105"/>
      <c r="I7" s="66"/>
    </row>
    <row r="8" spans="1:10">
      <c r="A8" s="91"/>
      <c r="B8" s="107"/>
      <c r="E8" s="57"/>
      <c r="F8" s="58"/>
      <c r="G8" s="65"/>
      <c r="H8" s="92"/>
      <c r="I8" s="66"/>
    </row>
    <row r="9" spans="1:10">
      <c r="A9" s="93" t="s">
        <v>56</v>
      </c>
      <c r="B9" s="94">
        <f ca="1">SUMIFS(INDIRECT("'" &amp; A9 &amp; "'!L:L"),
        INDIRECT("'" &amp; A9 &amp; "'!A:A"), "&gt;=" &amp; DATE($B$5, 1, 1),
        INDIRECT("'" &amp; A9 &amp; "'!A:A"), "&lt;=" &amp; DATE($B$5, 12, 31))</f>
        <v>614.59220000000016</v>
      </c>
      <c r="E9" s="95" t="s">
        <v>117</v>
      </c>
      <c r="F9" s="95"/>
      <c r="G9" s="96" t="s">
        <v>118</v>
      </c>
      <c r="I9" s="66"/>
      <c r="J9" s="97"/>
    </row>
    <row r="10" spans="1:10">
      <c r="A10" s="93" t="s">
        <v>33</v>
      </c>
      <c r="B10" s="94">
        <f ca="1">SUMIFS(INDIRECT("'" &amp; A10 &amp; "'!L:L"),
        INDIRECT("'" &amp; A10 &amp; "'!A:A"), "&gt;=" &amp; DATE($B$5, 1, 1),
        INDIRECT("'" &amp; A10 &amp; "'!A:A"), "&lt;=" &amp; DATE($B$5, 12, 31))</f>
        <v>541.99040000000002</v>
      </c>
      <c r="E10" s="98" t="s">
        <v>57</v>
      </c>
      <c r="F10" s="98"/>
      <c r="G10" s="99" t="s">
        <v>113</v>
      </c>
      <c r="H10" s="66"/>
      <c r="I10" s="92"/>
      <c r="J10" s="92"/>
    </row>
    <row r="11" spans="1:10">
      <c r="A11" s="93" t="s">
        <v>78</v>
      </c>
      <c r="B11" s="94">
        <f ca="1">SUMIFS(INDIRECT("'" &amp; A11 &amp; "'!L:L"),
        INDIRECT("'" &amp; A11 &amp; "'!A:A"), "&gt;=" &amp; DATE($B$5, 1, 1),
        INDIRECT("'" &amp; A11 &amp; "'!A:A"), "&lt;=" &amp; DATE($B$5, 12, 31))</f>
        <v>1731.6515047999999</v>
      </c>
      <c r="E11" s="98" t="s">
        <v>106</v>
      </c>
      <c r="F11" s="98"/>
      <c r="G11" s="99" t="s">
        <v>115</v>
      </c>
      <c r="H11" s="92"/>
      <c r="I11" s="92"/>
      <c r="J11" s="92"/>
    </row>
    <row r="12" spans="1:10">
      <c r="A12" s="93" t="s">
        <v>1</v>
      </c>
      <c r="B12" s="94">
        <f ca="1">SUMIFS(INDIRECT("'" &amp; A12 &amp; "'!L:L"),
        INDIRECT("'" &amp; A12 &amp; "'!A:A"), "&gt;=" &amp; DATE($B$5, 1, 1),
        INDIRECT("'" &amp; A12 &amp; "'!A:A"), "&lt;=" &amp; DATE($B$5, 12, 31))</f>
        <v>0</v>
      </c>
      <c r="E12" s="100" t="s">
        <v>36</v>
      </c>
      <c r="F12" s="100"/>
      <c r="G12" s="99" t="s">
        <v>114</v>
      </c>
      <c r="H12" s="92"/>
      <c r="I12" s="92"/>
      <c r="J12" s="92"/>
    </row>
    <row r="13" spans="1:10">
      <c r="A13" s="93" t="s">
        <v>2</v>
      </c>
      <c r="B13" s="94">
        <f ca="1">SUMIFS(INDIRECT("'" &amp; A13 &amp; "'!L:L"),
        INDIRECT("'" &amp; A13 &amp; "'!A:A"), "&gt;=" &amp; DATE($B$5, 1, 1),
        INDIRECT("'" &amp; A13 &amp; "'!A:A"), "&lt;=" &amp; DATE($B$5, 12, 31))</f>
        <v>0</v>
      </c>
      <c r="E13" s="98" t="s">
        <v>51</v>
      </c>
      <c r="F13" s="98"/>
      <c r="G13" s="99" t="s">
        <v>109</v>
      </c>
      <c r="H13" s="92"/>
      <c r="I13" s="92"/>
      <c r="J13" s="92"/>
    </row>
    <row r="14" spans="1:10">
      <c r="A14" s="93" t="s">
        <v>3</v>
      </c>
      <c r="B14" s="94">
        <f ca="1">SUMIFS(INDIRECT("'" &amp; A14 &amp; "'!L:L"),
        INDIRECT("'" &amp; A14 &amp; "'!A:A"), "&gt;=" &amp; DATE($B$5, 1, 1),
        INDIRECT("'" &amp; A14 &amp; "'!A:A"), "&lt;=" &amp; DATE($B$5, 12, 31))</f>
        <v>0</v>
      </c>
      <c r="E14" s="98" t="s">
        <v>83</v>
      </c>
      <c r="F14" s="98"/>
      <c r="G14" s="99" t="s">
        <v>110</v>
      </c>
      <c r="H14" s="92"/>
      <c r="I14" s="92"/>
      <c r="J14" s="92"/>
    </row>
    <row r="15" spans="1:10">
      <c r="A15" s="93" t="s">
        <v>16</v>
      </c>
      <c r="B15" s="94">
        <f ca="1">SUMIFS(INDIRECT("'" &amp; A15 &amp; "'!L:L"),
        INDIRECT("'" &amp; A15 &amp; "'!A:A"), "&gt;=" &amp; DATE($B$5, 1, 1),
        INDIRECT("'" &amp; A15 &amp; "'!A:A"), "&lt;=" &amp; DATE($B$5, 12, 31))</f>
        <v>0</v>
      </c>
      <c r="E15" s="98" t="s">
        <v>95</v>
      </c>
      <c r="F15" s="98"/>
      <c r="G15" s="99" t="s">
        <v>111</v>
      </c>
      <c r="H15" s="92"/>
      <c r="I15" s="92"/>
      <c r="J15" s="92"/>
    </row>
    <row r="16" spans="1:10">
      <c r="A16" s="93" t="s">
        <v>17</v>
      </c>
      <c r="B16" s="94">
        <f ca="1">SUMIFS(INDIRECT("'" &amp; A16 &amp; "'!L:L"),
        INDIRECT("'" &amp; A16 &amp; "'!A:A"), "&gt;=" &amp; DATE($B$5, 1, 1),
        INDIRECT("'" &amp; A16 &amp; "'!A:A"), "&lt;=" &amp; DATE($B$5, 12, 31))</f>
        <v>0</v>
      </c>
      <c r="E16" s="98" t="s">
        <v>107</v>
      </c>
      <c r="F16" s="98"/>
      <c r="G16" s="99" t="s">
        <v>112</v>
      </c>
      <c r="H16" s="92"/>
      <c r="I16" s="92"/>
      <c r="J16" s="92"/>
    </row>
    <row r="17" spans="1:10">
      <c r="A17" s="93" t="s">
        <v>18</v>
      </c>
      <c r="B17" s="94">
        <f ca="1">SUMIFS(INDIRECT("'" &amp; A17 &amp; "'!L:L"),
        INDIRECT("'" &amp; A17 &amp; "'!A:A"), "&gt;=" &amp; DATE($B$5, 1, 1),
        INDIRECT("'" &amp; A17 &amp; "'!A:A"), "&lt;=" &amp; DATE($B$5, 12, 31))</f>
        <v>0</v>
      </c>
      <c r="E17" s="98" t="s">
        <v>123</v>
      </c>
      <c r="F17" s="98"/>
      <c r="G17" s="101" t="s">
        <v>122</v>
      </c>
      <c r="I17" s="66"/>
    </row>
    <row r="18" spans="1:10">
      <c r="E18" s="75"/>
      <c r="I18" s="66"/>
    </row>
    <row r="19" spans="1:10">
      <c r="D19" s="51"/>
      <c r="E19" s="52" t="s">
        <v>116</v>
      </c>
      <c r="F19" s="53"/>
      <c r="G19" s="54" t="s">
        <v>56</v>
      </c>
    </row>
    <row r="20" spans="1:10">
      <c r="E20" s="57"/>
      <c r="F20" s="58"/>
      <c r="G20" s="59"/>
    </row>
    <row r="21" spans="1:10">
      <c r="D21" s="51"/>
      <c r="E21" s="52" t="s">
        <v>12</v>
      </c>
      <c r="F21" s="53"/>
      <c r="G21" s="60" t="s">
        <v>106</v>
      </c>
      <c r="H21" s="61">
        <v>2026</v>
      </c>
    </row>
    <row r="22" spans="1:10">
      <c r="D22" s="51"/>
      <c r="E22" s="62"/>
      <c r="F22" s="63"/>
      <c r="G22" s="64"/>
      <c r="H22" s="65"/>
    </row>
    <row r="23" spans="1:10">
      <c r="D23" s="66"/>
      <c r="E23" s="52" t="s">
        <v>119</v>
      </c>
      <c r="F23" s="53"/>
      <c r="G23" s="61" t="s">
        <v>7</v>
      </c>
      <c r="H23" s="67" t="s">
        <v>120</v>
      </c>
    </row>
    <row r="24" spans="1:10">
      <c r="D24" s="66"/>
      <c r="E24" s="57"/>
      <c r="F24" s="58"/>
      <c r="G24" s="65"/>
      <c r="H24" s="68"/>
    </row>
    <row r="25" spans="1:10">
      <c r="D25" s="69" t="s">
        <v>6</v>
      </c>
      <c r="E25" s="70" t="s">
        <v>7</v>
      </c>
      <c r="F25" s="70" t="s">
        <v>47</v>
      </c>
      <c r="G25" s="71" t="s">
        <v>121</v>
      </c>
      <c r="H25" s="72" t="s">
        <v>9</v>
      </c>
      <c r="I25" s="73" t="s">
        <v>108</v>
      </c>
      <c r="J25" s="73" t="s">
        <v>15</v>
      </c>
    </row>
    <row r="26" spans="1:10">
      <c r="D26" s="51" cm="1">
        <f t="array" aca="1" ref="D26:I28" ca="1">_xlfn.CHOOSECOLS(
  _xlfn._xlws.SORT(
    _xlfn._xlws.FILTER(
      INDIRECT("'" &amp; G19 &amp; "'!A2:L1000"),
      (INDIRECT("'" &amp; G19 &amp; "'!C2:C1000") = G21) * (YEAR(INDIRECT("'" &amp; G19 &amp; "'!A2:A1000")) = H21),
      "Not Found"
    ),
    _xlfn.SWITCH($G$23, "Date", 1, "Description", 4, "Quantity", 6, 1),
    IF($H$23="Descending", -1, 1)
  ),
  1, 6, 5, 4, 7, 12
)</f>
        <v>46053</v>
      </c>
      <c r="E26" s="74">
        <f ca="1"/>
        <v>1</v>
      </c>
      <c r="F26" s="75" t="str">
        <f ca="1"/>
        <v>ΠΑΚ</v>
      </c>
      <c r="G26" s="55" t="str">
        <f ca="1"/>
        <v>ΤΣΑΙ ENGLISH CEYLON ΠΑΚ.25 ΤΕΜ. EILLES</v>
      </c>
      <c r="H26" s="55">
        <f ca="1"/>
        <v>4.33</v>
      </c>
      <c r="I26" s="55">
        <f ca="1"/>
        <v>4.8929</v>
      </c>
      <c r="J26" s="49">
        <f ca="1">IFERROR(SUM(I26:I1006), 0)</f>
        <v>14.678699999999999</v>
      </c>
    </row>
    <row r="27" spans="1:10">
      <c r="D27" s="51">
        <f ca="1"/>
        <v>46053</v>
      </c>
      <c r="E27" s="74">
        <f ca="1"/>
        <v>1</v>
      </c>
      <c r="F27" s="75" t="str">
        <f ca="1"/>
        <v>ΠΑΚ</v>
      </c>
      <c r="G27" s="55" t="str">
        <f ca="1"/>
        <v>ΤΣΑΙ GREEN SUPERIOR ΠΑΚ.25 ΤΕΜ. EILLES</v>
      </c>
      <c r="H27" s="55">
        <f ca="1"/>
        <v>4.33</v>
      </c>
      <c r="I27" s="55">
        <f ca="1"/>
        <v>4.8929</v>
      </c>
      <c r="J27" s="49"/>
    </row>
    <row r="28" spans="1:10">
      <c r="D28" s="51">
        <f ca="1"/>
        <v>46053</v>
      </c>
      <c r="E28" s="74">
        <f ca="1"/>
        <v>1</v>
      </c>
      <c r="F28" s="75" t="str">
        <f ca="1"/>
        <v>ΠΑΚ</v>
      </c>
      <c r="G28" s="55" t="str">
        <f ca="1"/>
        <v>ΤΣΑΙ ΑΡΩΜ EARL GREY BLUE</v>
      </c>
      <c r="H28" s="55">
        <f ca="1"/>
        <v>4.33</v>
      </c>
      <c r="I28" s="55">
        <f ca="1"/>
        <v>4.8929</v>
      </c>
    </row>
    <row r="29" spans="1:10">
      <c r="D29" s="51"/>
      <c r="G29" s="55"/>
    </row>
    <row r="30" spans="1:10">
      <c r="D30" s="51"/>
      <c r="G30" s="55"/>
    </row>
    <row r="31" spans="1:10">
      <c r="D31" s="51"/>
      <c r="G31" s="55"/>
    </row>
    <row r="32" spans="1:10">
      <c r="D32" s="51"/>
      <c r="G32" s="55"/>
    </row>
    <row r="33" spans="4:7">
      <c r="D33" s="51"/>
      <c r="G33" s="55"/>
    </row>
    <row r="34" spans="4:7">
      <c r="D34" s="51"/>
      <c r="G34" s="55"/>
    </row>
    <row r="35" spans="4:7">
      <c r="D35" s="51"/>
      <c r="G35" s="55"/>
    </row>
    <row r="36" spans="4:7">
      <c r="D36" s="51"/>
      <c r="G36" s="55"/>
    </row>
    <row r="37" spans="4:7">
      <c r="D37" s="51"/>
      <c r="G37" s="55"/>
    </row>
    <row r="1001" spans="17:17">
      <c r="Q1001" s="66" t="s">
        <v>19</v>
      </c>
    </row>
    <row r="1002" spans="17:17">
      <c r="Q1002" s="66" t="s">
        <v>21</v>
      </c>
    </row>
    <row r="1003" spans="17:17">
      <c r="Q1003" s="66" t="s">
        <v>22</v>
      </c>
    </row>
    <row r="1004" spans="17:17">
      <c r="Q1004" s="66" t="s">
        <v>23</v>
      </c>
    </row>
    <row r="1005" spans="17:17">
      <c r="Q1005" s="66" t="s">
        <v>31</v>
      </c>
    </row>
    <row r="1006" spans="17:17">
      <c r="Q1006" s="66" t="s">
        <v>24</v>
      </c>
    </row>
    <row r="1007" spans="17:17">
      <c r="Q1007" s="66" t="s">
        <v>25</v>
      </c>
    </row>
    <row r="1008" spans="17:17">
      <c r="Q1008" s="66" t="s">
        <v>26</v>
      </c>
    </row>
    <row r="1009" spans="17:17">
      <c r="Q1009" s="66" t="s">
        <v>27</v>
      </c>
    </row>
    <row r="1010" spans="17:17">
      <c r="Q1010" s="66" t="s">
        <v>29</v>
      </c>
    </row>
    <row r="1011" spans="17:17">
      <c r="Q1011" s="66" t="s">
        <v>30</v>
      </c>
    </row>
    <row r="1012" spans="17:17">
      <c r="Q1012" s="66" t="s">
        <v>28</v>
      </c>
    </row>
  </sheetData>
  <mergeCells count="32">
    <mergeCell ref="B7:B8"/>
    <mergeCell ref="A7:A8"/>
    <mergeCell ref="H3:H4"/>
    <mergeCell ref="E7:F8"/>
    <mergeCell ref="G7:G8"/>
    <mergeCell ref="A3:A4"/>
    <mergeCell ref="B3:B4"/>
    <mergeCell ref="A5:A6"/>
    <mergeCell ref="B5:B6"/>
    <mergeCell ref="E3:F4"/>
    <mergeCell ref="E5:F6"/>
    <mergeCell ref="E19:F20"/>
    <mergeCell ref="E21:F22"/>
    <mergeCell ref="E23:F24"/>
    <mergeCell ref="G19:G20"/>
    <mergeCell ref="G21:G22"/>
    <mergeCell ref="G23:G24"/>
    <mergeCell ref="H21:H22"/>
    <mergeCell ref="H23:H24"/>
    <mergeCell ref="E17:F17"/>
    <mergeCell ref="E16:F16"/>
    <mergeCell ref="E15:F15"/>
    <mergeCell ref="E14:F14"/>
    <mergeCell ref="E13:F13"/>
    <mergeCell ref="E12:F12"/>
    <mergeCell ref="E11:F11"/>
    <mergeCell ref="E9:F9"/>
    <mergeCell ref="G5:G6"/>
    <mergeCell ref="G3:G4"/>
    <mergeCell ref="E10:F10"/>
    <mergeCell ref="J26:J27"/>
    <mergeCell ref="H5:H7"/>
  </mergeCells>
  <dataValidations count="7">
    <dataValidation type="list" allowBlank="1" showInputMessage="1" showErrorMessage="1" sqref="G5" xr:uid="{D4A9165F-A242-47CC-AE0F-45224E600ACA}">
      <formula1>$Q$1001:$Q$1012</formula1>
    </dataValidation>
    <dataValidation type="list" allowBlank="1" showInputMessage="1" showErrorMessage="1" sqref="B5 H21 G7" xr:uid="{987E0B22-1F1E-447A-BE05-51DE3F5A2B67}">
      <formula1>"2025,2026,2027,2028,2029,2030"</formula1>
    </dataValidation>
    <dataValidation type="list" allowBlank="1" showInputMessage="1" showErrorMessage="1" sqref="G19" xr:uid="{BE167821-84BD-40A2-AFED-ECC7A36BDBF2}">
      <formula1>$A$9:$A$54</formula1>
    </dataValidation>
    <dataValidation type="list" allowBlank="1" showInputMessage="1" showErrorMessage="1" sqref="G3" xr:uid="{F6A8A814-FD65-4B7E-A987-671343DBC37E}">
      <formula1>$A$9:$A$53</formula1>
    </dataValidation>
    <dataValidation type="list" showInputMessage="1" showErrorMessage="1" sqref="G21" xr:uid="{24639CA5-8D9A-4231-BEA0-34D4C4543AED}">
      <formula1>"COFFEE,BEVERAGE,WINE,BEER,FOOD,DAIRY,NON-FOOD"</formula1>
    </dataValidation>
    <dataValidation type="list" allowBlank="1" showInputMessage="1" showErrorMessage="1" sqref="G23" xr:uid="{AC0876E1-A2A6-411F-990A-55CF34DC0467}">
      <formula1>"Date,Description,Quantity"</formula1>
    </dataValidation>
    <dataValidation type="list" allowBlank="1" showInputMessage="1" showErrorMessage="1" sqref="H23" xr:uid="{8233468E-A970-4D6D-9495-86384CBFC07B}">
      <formula1>"Ascending,Descending"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M38"/>
  <sheetViews>
    <sheetView workbookViewId="0">
      <pane ySplit="1" topLeftCell="A2" activePane="bottomLeft" state="frozen"/>
      <selection pane="bottomLeft" activeCell="E1" sqref="E1:E1048576"/>
    </sheetView>
  </sheetViews>
  <sheetFormatPr defaultRowHeight="14"/>
  <cols>
    <col min="1" max="1" width="10.6328125" style="25" bestFit="1" customWidth="1"/>
    <col min="2" max="2" width="12.1796875" style="27" bestFit="1" customWidth="1"/>
    <col min="3" max="3" width="12.90625" style="25" customWidth="1"/>
    <col min="4" max="4" width="65.453125" style="25" bestFit="1" customWidth="1"/>
    <col min="5" max="5" width="7.26953125" style="25" bestFit="1" customWidth="1"/>
    <col min="6" max="6" width="10.81640625" style="27" bestFit="1" customWidth="1"/>
    <col min="7" max="7" width="13.36328125" style="32" bestFit="1" customWidth="1"/>
    <col min="8" max="8" width="9.7265625" style="25" bestFit="1" customWidth="1"/>
    <col min="9" max="9" width="14.81640625" style="26" bestFit="1" customWidth="1"/>
    <col min="10" max="10" width="8.7265625" style="28" bestFit="1" customWidth="1"/>
    <col min="11" max="11" width="10.6328125" style="25" bestFit="1" customWidth="1"/>
    <col min="12" max="12" width="12.453125" style="25" bestFit="1" customWidth="1"/>
    <col min="13" max="16384" width="8.7265625" style="25"/>
  </cols>
  <sheetData>
    <row r="1" spans="1:12" s="7" customFormat="1">
      <c r="A1" s="7" t="s">
        <v>6</v>
      </c>
      <c r="B1" s="24" t="s">
        <v>11</v>
      </c>
      <c r="C1" s="7" t="s">
        <v>13</v>
      </c>
      <c r="D1" s="7" t="s">
        <v>103</v>
      </c>
      <c r="E1" s="7" t="s">
        <v>47</v>
      </c>
      <c r="F1" s="24" t="s">
        <v>7</v>
      </c>
      <c r="G1" s="31" t="s">
        <v>9</v>
      </c>
      <c r="H1" s="6" t="s">
        <v>8</v>
      </c>
      <c r="I1" s="8" t="s">
        <v>10</v>
      </c>
      <c r="J1" s="21" t="s">
        <v>66</v>
      </c>
      <c r="K1" s="8" t="s">
        <v>35</v>
      </c>
      <c r="L1" s="6" t="s">
        <v>14</v>
      </c>
    </row>
    <row r="2" spans="1:12" s="7" customFormat="1" ht="15" customHeight="1">
      <c r="A2" s="19">
        <v>46118</v>
      </c>
      <c r="B2" s="24">
        <v>1360</v>
      </c>
      <c r="C2" s="7" t="s">
        <v>57</v>
      </c>
      <c r="D2" s="7" t="s">
        <v>69</v>
      </c>
      <c r="E2" s="7" t="s">
        <v>59</v>
      </c>
      <c r="F2" s="23">
        <v>1</v>
      </c>
      <c r="G2" s="31">
        <v>20.3</v>
      </c>
      <c r="H2" s="21">
        <f>KAZOULIS[[#This Row],[Quantity]]*KAZOULIS[[#This Row],[Unit Price]]</f>
        <v>20.3</v>
      </c>
      <c r="I2" s="8"/>
      <c r="J2" s="21">
        <v>2.4</v>
      </c>
      <c r="K2" s="8">
        <v>0.13</v>
      </c>
      <c r="L2" s="6">
        <f>(KAZOULIS[[#This Row],[Total]] * (1 - KAZOULIS[[#This Row],[Discount (%)]]) + KAZOULIS[[#This Row],[ΕΦΚ]]) * (1 + KAZOULIS[[#This Row],[TAX (%)]])</f>
        <v>25.650999999999996</v>
      </c>
    </row>
    <row r="3" spans="1:12" s="7" customFormat="1" ht="15" customHeight="1">
      <c r="A3" s="19">
        <v>46118</v>
      </c>
      <c r="B3" s="24">
        <v>1360</v>
      </c>
      <c r="C3" s="7" t="s">
        <v>57</v>
      </c>
      <c r="D3" s="7" t="s">
        <v>67</v>
      </c>
      <c r="E3" s="7" t="s">
        <v>48</v>
      </c>
      <c r="F3" s="23">
        <v>100</v>
      </c>
      <c r="G3" s="31">
        <v>0.42</v>
      </c>
      <c r="H3" s="21">
        <f>KAZOULIS[[#This Row],[Quantity]]*KAZOULIS[[#This Row],[Unit Price]]</f>
        <v>42</v>
      </c>
      <c r="I3" s="8"/>
      <c r="J3" s="21">
        <v>1.5</v>
      </c>
      <c r="K3" s="8">
        <v>0.13</v>
      </c>
      <c r="L3" s="6">
        <f>(KAZOULIS[[#This Row],[Total]] * (1 - KAZOULIS[[#This Row],[Discount (%)]]) + KAZOULIS[[#This Row],[ΕΦΚ]]) * (1 + KAZOULIS[[#This Row],[TAX (%)]])</f>
        <v>49.154999999999994</v>
      </c>
    </row>
    <row r="4" spans="1:12" s="7" customFormat="1" ht="15" customHeight="1">
      <c r="A4" s="19">
        <v>46116</v>
      </c>
      <c r="B4" s="24">
        <v>1343</v>
      </c>
      <c r="C4" s="7" t="s">
        <v>107</v>
      </c>
      <c r="D4" s="7" t="s">
        <v>75</v>
      </c>
      <c r="E4" s="7" t="s">
        <v>48</v>
      </c>
      <c r="F4" s="23">
        <v>100</v>
      </c>
      <c r="G4" s="31">
        <v>2.7E-2</v>
      </c>
      <c r="H4" s="21">
        <f>KAZOULIS[[#This Row],[Quantity]]*KAZOULIS[[#This Row],[Unit Price]]</f>
        <v>2.7</v>
      </c>
      <c r="I4" s="8"/>
      <c r="J4" s="21"/>
      <c r="K4" s="8">
        <v>0.24</v>
      </c>
      <c r="L4" s="6">
        <f>(KAZOULIS[[#This Row],[Total]] * (1 - KAZOULIS[[#This Row],[Discount (%)]]) + KAZOULIS[[#This Row],[ΕΦΚ]]) * (1 + KAZOULIS[[#This Row],[TAX (%)]])</f>
        <v>3.3480000000000003</v>
      </c>
    </row>
    <row r="5" spans="1:12">
      <c r="A5" s="19">
        <v>46116</v>
      </c>
      <c r="B5" s="24">
        <v>1343</v>
      </c>
      <c r="C5" s="7" t="s">
        <v>107</v>
      </c>
      <c r="D5" s="7" t="s">
        <v>65</v>
      </c>
      <c r="E5" s="7" t="s">
        <v>48</v>
      </c>
      <c r="F5" s="23">
        <v>100</v>
      </c>
      <c r="G5" s="31">
        <v>4.2000000000000003E-2</v>
      </c>
      <c r="H5" s="21">
        <f>KAZOULIS[[#This Row],[Quantity]]*KAZOULIS[[#This Row],[Unit Price]]</f>
        <v>4.2</v>
      </c>
      <c r="I5" s="8"/>
      <c r="J5" s="21"/>
      <c r="K5" s="8">
        <v>0.24</v>
      </c>
      <c r="L5" s="6">
        <f>(KAZOULIS[[#This Row],[Total]] * (1 - KAZOULIS[[#This Row],[Discount (%)]]) + KAZOULIS[[#This Row],[ΕΦΚ]]) * (1 + KAZOULIS[[#This Row],[TAX (%)]])</f>
        <v>5.2080000000000002</v>
      </c>
    </row>
    <row r="6" spans="1:12">
      <c r="A6" s="19">
        <v>46116</v>
      </c>
      <c r="B6" s="24">
        <v>1343</v>
      </c>
      <c r="C6" s="7" t="s">
        <v>83</v>
      </c>
      <c r="D6" s="7" t="s">
        <v>63</v>
      </c>
      <c r="E6" s="7" t="s">
        <v>49</v>
      </c>
      <c r="F6" s="23">
        <v>1</v>
      </c>
      <c r="G6" s="31">
        <v>18.850000000000001</v>
      </c>
      <c r="H6" s="21">
        <f>KAZOULIS[[#This Row],[Quantity]]*KAZOULIS[[#This Row],[Unit Price]]</f>
        <v>18.850000000000001</v>
      </c>
      <c r="I6" s="8"/>
      <c r="J6" s="21"/>
      <c r="K6" s="8">
        <v>0.13</v>
      </c>
      <c r="L6" s="6">
        <f>(KAZOULIS[[#This Row],[Total]] * (1 - KAZOULIS[[#This Row],[Discount (%)]]) + KAZOULIS[[#This Row],[ΕΦΚ]]) * (1 + KAZOULIS[[#This Row],[TAX (%)]])</f>
        <v>21.3005</v>
      </c>
    </row>
    <row r="7" spans="1:12">
      <c r="A7" s="19">
        <v>46116</v>
      </c>
      <c r="B7" s="24">
        <v>1343</v>
      </c>
      <c r="C7" s="7" t="s">
        <v>95</v>
      </c>
      <c r="D7" s="7" t="s">
        <v>77</v>
      </c>
      <c r="E7" s="7" t="s">
        <v>48</v>
      </c>
      <c r="F7" s="23">
        <v>1</v>
      </c>
      <c r="G7" s="31">
        <v>16.5</v>
      </c>
      <c r="H7" s="21">
        <f>KAZOULIS[[#This Row],[Quantity]]*KAZOULIS[[#This Row],[Unit Price]]</f>
        <v>16.5</v>
      </c>
      <c r="I7" s="8"/>
      <c r="J7" s="21"/>
      <c r="K7" s="8">
        <v>0.13</v>
      </c>
      <c r="L7" s="6">
        <f>(KAZOULIS[[#This Row],[Total]] * (1 - KAZOULIS[[#This Row],[Discount (%)]]) + KAZOULIS[[#This Row],[ΕΦΚ]]) * (1 + KAZOULIS[[#This Row],[TAX (%)]])</f>
        <v>18.645</v>
      </c>
    </row>
    <row r="8" spans="1:12">
      <c r="A8" s="19">
        <v>46116</v>
      </c>
      <c r="B8" s="24">
        <v>1343</v>
      </c>
      <c r="C8" s="7" t="s">
        <v>57</v>
      </c>
      <c r="D8" s="7" t="s">
        <v>76</v>
      </c>
      <c r="E8" s="7" t="s">
        <v>48</v>
      </c>
      <c r="F8" s="23">
        <v>1</v>
      </c>
      <c r="G8" s="31">
        <v>9.15</v>
      </c>
      <c r="H8" s="21">
        <f>KAZOULIS[[#This Row],[Quantity]]*KAZOULIS[[#This Row],[Unit Price]]</f>
        <v>9.15</v>
      </c>
      <c r="I8" s="8"/>
      <c r="J8" s="21">
        <v>0.75</v>
      </c>
      <c r="K8" s="8">
        <v>0.13</v>
      </c>
      <c r="L8" s="6">
        <f>(KAZOULIS[[#This Row],[Total]] * (1 - KAZOULIS[[#This Row],[Discount (%)]]) + KAZOULIS[[#This Row],[ΕΦΚ]]) * (1 + KAZOULIS[[#This Row],[TAX (%)]])</f>
        <v>11.186999999999999</v>
      </c>
    </row>
    <row r="9" spans="1:12">
      <c r="A9" s="19">
        <v>46116</v>
      </c>
      <c r="B9" s="24">
        <v>1343</v>
      </c>
      <c r="C9" s="7" t="s">
        <v>57</v>
      </c>
      <c r="D9" s="7" t="s">
        <v>58</v>
      </c>
      <c r="E9" s="7" t="s">
        <v>59</v>
      </c>
      <c r="F9" s="23">
        <v>6</v>
      </c>
      <c r="G9" s="31">
        <v>26.5</v>
      </c>
      <c r="H9" s="21">
        <f>KAZOULIS[[#This Row],[Quantity]]*KAZOULIS[[#This Row],[Unit Price]]</f>
        <v>159</v>
      </c>
      <c r="I9" s="8"/>
      <c r="J9" s="21">
        <v>18</v>
      </c>
      <c r="K9" s="8">
        <v>0.13</v>
      </c>
      <c r="L9" s="6">
        <f>(KAZOULIS[[#This Row],[Total]] * (1 - KAZOULIS[[#This Row],[Discount (%)]]) + KAZOULIS[[#This Row],[ΕΦΚ]]) * (1 + KAZOULIS[[#This Row],[TAX (%)]])</f>
        <v>200.01</v>
      </c>
    </row>
    <row r="10" spans="1:12">
      <c r="A10" s="19">
        <v>46080</v>
      </c>
      <c r="B10" s="24">
        <v>990</v>
      </c>
      <c r="C10" s="7" t="s">
        <v>107</v>
      </c>
      <c r="D10" s="7" t="s">
        <v>65</v>
      </c>
      <c r="E10" s="7" t="s">
        <v>48</v>
      </c>
      <c r="F10" s="23">
        <v>100</v>
      </c>
      <c r="G10" s="31">
        <v>4.2000000000000003E-2</v>
      </c>
      <c r="H10" s="21">
        <f>KAZOULIS[[#This Row],[Quantity]]*KAZOULIS[[#This Row],[Unit Price]]</f>
        <v>4.2</v>
      </c>
      <c r="I10" s="8"/>
      <c r="J10" s="21"/>
      <c r="K10" s="8">
        <v>0.24</v>
      </c>
      <c r="L10" s="6">
        <f>(KAZOULIS[[#This Row],[Total]] * (1 - KAZOULIS[[#This Row],[Discount (%)]]) + KAZOULIS[[#This Row],[ΕΦΚ]]) * (1 + KAZOULIS[[#This Row],[TAX (%)]])</f>
        <v>5.2080000000000002</v>
      </c>
    </row>
    <row r="11" spans="1:12">
      <c r="A11" s="19">
        <v>46080</v>
      </c>
      <c r="B11" s="24">
        <v>990</v>
      </c>
      <c r="C11" s="7" t="s">
        <v>57</v>
      </c>
      <c r="D11" s="7" t="s">
        <v>67</v>
      </c>
      <c r="E11" s="7" t="s">
        <v>48</v>
      </c>
      <c r="F11" s="23">
        <v>100</v>
      </c>
      <c r="G11" s="31">
        <v>0.42</v>
      </c>
      <c r="H11" s="21">
        <f>KAZOULIS[[#This Row],[Quantity]]*KAZOULIS[[#This Row],[Unit Price]]</f>
        <v>42</v>
      </c>
      <c r="I11" s="8"/>
      <c r="J11" s="21">
        <v>1.5</v>
      </c>
      <c r="K11" s="8">
        <v>0.13</v>
      </c>
      <c r="L11" s="6">
        <f>(KAZOULIS[[#This Row],[Total]] * (1 - KAZOULIS[[#This Row],[Discount (%)]]) + KAZOULIS[[#This Row],[ΕΦΚ]]) * (1 + KAZOULIS[[#This Row],[TAX (%)]])</f>
        <v>49.154999999999994</v>
      </c>
    </row>
    <row r="12" spans="1:12">
      <c r="A12" s="19">
        <v>46053</v>
      </c>
      <c r="B12" s="24">
        <v>738</v>
      </c>
      <c r="C12" s="7" t="s">
        <v>107</v>
      </c>
      <c r="D12" s="7" t="s">
        <v>75</v>
      </c>
      <c r="E12" s="7" t="s">
        <v>48</v>
      </c>
      <c r="F12" s="23">
        <v>100</v>
      </c>
      <c r="G12" s="31">
        <v>2.7E-2</v>
      </c>
      <c r="H12" s="21">
        <f>KAZOULIS[[#This Row],[Quantity]]*KAZOULIS[[#This Row],[Unit Price]]</f>
        <v>2.7</v>
      </c>
      <c r="I12" s="8"/>
      <c r="J12" s="21"/>
      <c r="K12" s="8">
        <v>0.24</v>
      </c>
      <c r="L12" s="6">
        <f>(KAZOULIS[[#This Row],[Total]] * (1 - KAZOULIS[[#This Row],[Discount (%)]]) + KAZOULIS[[#This Row],[ΕΦΚ]]) * (1 + KAZOULIS[[#This Row],[TAX (%)]])</f>
        <v>3.3480000000000003</v>
      </c>
    </row>
    <row r="13" spans="1:12">
      <c r="A13" s="19">
        <v>46053</v>
      </c>
      <c r="B13" s="24">
        <v>738</v>
      </c>
      <c r="C13" s="7" t="s">
        <v>107</v>
      </c>
      <c r="D13" s="7" t="s">
        <v>73</v>
      </c>
      <c r="E13" s="7" t="s">
        <v>48</v>
      </c>
      <c r="F13" s="23">
        <v>100</v>
      </c>
      <c r="G13" s="31">
        <v>1.4999999999999999E-2</v>
      </c>
      <c r="H13" s="21">
        <f>KAZOULIS[[#This Row],[Quantity]]*KAZOULIS[[#This Row],[Unit Price]]</f>
        <v>1.5</v>
      </c>
      <c r="I13" s="8"/>
      <c r="J13" s="21"/>
      <c r="K13" s="8">
        <v>0.24</v>
      </c>
      <c r="L13" s="6">
        <f>(KAZOULIS[[#This Row],[Total]] * (1 - KAZOULIS[[#This Row],[Discount (%)]]) + KAZOULIS[[#This Row],[ΕΦΚ]]) * (1 + KAZOULIS[[#This Row],[TAX (%)]])</f>
        <v>1.8599999999999999</v>
      </c>
    </row>
    <row r="14" spans="1:12">
      <c r="A14" s="19">
        <v>46053</v>
      </c>
      <c r="B14" s="24">
        <v>738</v>
      </c>
      <c r="C14" s="7" t="s">
        <v>107</v>
      </c>
      <c r="D14" s="7" t="s">
        <v>74</v>
      </c>
      <c r="E14" s="7" t="s">
        <v>48</v>
      </c>
      <c r="F14" s="23">
        <v>100</v>
      </c>
      <c r="G14" s="31">
        <v>4.7E-2</v>
      </c>
      <c r="H14" s="21">
        <f>KAZOULIS[[#This Row],[Quantity]]*KAZOULIS[[#This Row],[Unit Price]]</f>
        <v>4.7</v>
      </c>
      <c r="I14" s="8"/>
      <c r="J14" s="21"/>
      <c r="K14" s="8">
        <v>0.24</v>
      </c>
      <c r="L14" s="6">
        <f>(KAZOULIS[[#This Row],[Total]] * (1 - KAZOULIS[[#This Row],[Discount (%)]]) + KAZOULIS[[#This Row],[ΕΦΚ]]) * (1 + KAZOULIS[[#This Row],[TAX (%)]])</f>
        <v>5.8280000000000003</v>
      </c>
    </row>
    <row r="15" spans="1:12">
      <c r="A15" s="19">
        <v>46053</v>
      </c>
      <c r="B15" s="24">
        <v>738</v>
      </c>
      <c r="C15" s="7" t="s">
        <v>57</v>
      </c>
      <c r="D15" s="7" t="s">
        <v>58</v>
      </c>
      <c r="E15" s="7" t="s">
        <v>59</v>
      </c>
      <c r="F15" s="23">
        <v>6</v>
      </c>
      <c r="G15" s="31">
        <v>26.5</v>
      </c>
      <c r="H15" s="21">
        <f>KAZOULIS[[#This Row],[Quantity]]*KAZOULIS[[#This Row],[Unit Price]]</f>
        <v>159</v>
      </c>
      <c r="I15" s="8"/>
      <c r="J15" s="21">
        <v>18</v>
      </c>
      <c r="K15" s="8">
        <v>0.13</v>
      </c>
      <c r="L15" s="6">
        <f>(KAZOULIS[[#This Row],[Total]] * (1 - KAZOULIS[[#This Row],[Discount (%)]]) + KAZOULIS[[#This Row],[ΕΦΚ]]) * (1 + KAZOULIS[[#This Row],[TAX (%)]])</f>
        <v>200.01</v>
      </c>
    </row>
    <row r="16" spans="1:12">
      <c r="A16" s="19">
        <v>46053</v>
      </c>
      <c r="B16" s="24">
        <v>738</v>
      </c>
      <c r="C16" s="7" t="s">
        <v>106</v>
      </c>
      <c r="D16" s="7" t="s">
        <v>60</v>
      </c>
      <c r="E16" s="7" t="s">
        <v>125</v>
      </c>
      <c r="F16" s="23">
        <v>1</v>
      </c>
      <c r="G16" s="31">
        <v>4.33</v>
      </c>
      <c r="H16" s="21">
        <f>KAZOULIS[[#This Row],[Quantity]]*KAZOULIS[[#This Row],[Unit Price]]</f>
        <v>4.33</v>
      </c>
      <c r="I16" s="8"/>
      <c r="J16" s="21"/>
      <c r="K16" s="8">
        <v>0.13</v>
      </c>
      <c r="L16" s="6">
        <f>(KAZOULIS[[#This Row],[Total]] * (1 - KAZOULIS[[#This Row],[Discount (%)]]) + KAZOULIS[[#This Row],[ΕΦΚ]]) * (1 + KAZOULIS[[#This Row],[TAX (%)]])</f>
        <v>4.8929</v>
      </c>
    </row>
    <row r="17" spans="1:13">
      <c r="A17" s="19">
        <v>46053</v>
      </c>
      <c r="B17" s="24">
        <v>738</v>
      </c>
      <c r="C17" s="7" t="s">
        <v>106</v>
      </c>
      <c r="D17" s="7" t="s">
        <v>61</v>
      </c>
      <c r="E17" s="7" t="s">
        <v>125</v>
      </c>
      <c r="F17" s="23">
        <v>1</v>
      </c>
      <c r="G17" s="31">
        <v>4.33</v>
      </c>
      <c r="H17" s="21">
        <f>KAZOULIS[[#This Row],[Quantity]]*KAZOULIS[[#This Row],[Unit Price]]</f>
        <v>4.33</v>
      </c>
      <c r="I17" s="8"/>
      <c r="J17" s="21"/>
      <c r="K17" s="8">
        <v>0.13</v>
      </c>
      <c r="L17" s="6">
        <f>(KAZOULIS[[#This Row],[Total]] * (1 - KAZOULIS[[#This Row],[Discount (%)]]) + KAZOULIS[[#This Row],[ΕΦΚ]]) * (1 + KAZOULIS[[#This Row],[TAX (%)]])</f>
        <v>4.8929</v>
      </c>
    </row>
    <row r="18" spans="1:13">
      <c r="A18" s="19">
        <v>46053</v>
      </c>
      <c r="B18" s="24">
        <v>738</v>
      </c>
      <c r="C18" s="7" t="s">
        <v>106</v>
      </c>
      <c r="D18" s="7" t="s">
        <v>72</v>
      </c>
      <c r="E18" s="7" t="s">
        <v>125</v>
      </c>
      <c r="F18" s="23">
        <v>1</v>
      </c>
      <c r="G18" s="31">
        <v>4.33</v>
      </c>
      <c r="H18" s="21">
        <f>KAZOULIS[[#This Row],[Quantity]]*KAZOULIS[[#This Row],[Unit Price]]</f>
        <v>4.33</v>
      </c>
      <c r="I18" s="8"/>
      <c r="J18" s="21"/>
      <c r="K18" s="8">
        <v>0.13</v>
      </c>
      <c r="L18" s="6">
        <f>(KAZOULIS[[#This Row],[Total]] * (1 - KAZOULIS[[#This Row],[Discount (%)]]) + KAZOULIS[[#This Row],[ΕΦΚ]]) * (1 + KAZOULIS[[#This Row],[TAX (%)]])</f>
        <v>4.8929</v>
      </c>
    </row>
    <row r="19" spans="1:13">
      <c r="A19" s="39">
        <v>46022</v>
      </c>
      <c r="B19" s="40">
        <v>504</v>
      </c>
      <c r="C19" s="41" t="s">
        <v>57</v>
      </c>
      <c r="D19" s="41" t="s">
        <v>58</v>
      </c>
      <c r="E19" s="41" t="s">
        <v>59</v>
      </c>
      <c r="F19" s="42">
        <v>3</v>
      </c>
      <c r="G19" s="43">
        <v>26.5</v>
      </c>
      <c r="H19" s="44">
        <f>KAZOULIS[[#This Row],[Quantity]]*KAZOULIS[[#This Row],[Unit Price]]</f>
        <v>79.5</v>
      </c>
      <c r="I19" s="45"/>
      <c r="J19" s="44">
        <v>9</v>
      </c>
      <c r="K19" s="45">
        <v>0.13</v>
      </c>
      <c r="L19" s="46">
        <f>(KAZOULIS[[#This Row],[Total]] * (1 - KAZOULIS[[#This Row],[Discount (%)]]) + KAZOULIS[[#This Row],[ΕΦΚ]]) * (1 + KAZOULIS[[#This Row],[TAX (%)]])</f>
        <v>100.005</v>
      </c>
    </row>
    <row r="20" spans="1:13">
      <c r="A20" s="19">
        <v>46022</v>
      </c>
      <c r="B20" s="24">
        <v>503</v>
      </c>
      <c r="C20" s="7" t="s">
        <v>57</v>
      </c>
      <c r="D20" s="7" t="s">
        <v>67</v>
      </c>
      <c r="E20" s="7" t="s">
        <v>48</v>
      </c>
      <c r="F20" s="23">
        <v>100</v>
      </c>
      <c r="G20" s="31">
        <v>0.42</v>
      </c>
      <c r="H20" s="21">
        <f>KAZOULIS[[#This Row],[Quantity]]*KAZOULIS[[#This Row],[Unit Price]]</f>
        <v>42</v>
      </c>
      <c r="I20" s="8"/>
      <c r="J20" s="21">
        <v>1.5</v>
      </c>
      <c r="K20" s="8">
        <v>0.13</v>
      </c>
      <c r="L20" s="6">
        <f>(KAZOULIS[[#This Row],[Total]] * (1 - KAZOULIS[[#This Row],[Discount (%)]]) + KAZOULIS[[#This Row],[ΕΦΚ]]) * (1 + KAZOULIS[[#This Row],[TAX (%)]])</f>
        <v>49.154999999999994</v>
      </c>
    </row>
    <row r="21" spans="1:13">
      <c r="A21" s="19">
        <v>46011</v>
      </c>
      <c r="B21" s="24">
        <v>419</v>
      </c>
      <c r="C21" s="7" t="s">
        <v>107</v>
      </c>
      <c r="D21" s="7" t="s">
        <v>71</v>
      </c>
      <c r="E21" s="7" t="s">
        <v>48</v>
      </c>
      <c r="F21" s="23">
        <v>1</v>
      </c>
      <c r="G21" s="31">
        <v>0</v>
      </c>
      <c r="H21" s="21">
        <f>KAZOULIS[[#This Row],[Quantity]]*KAZOULIS[[#This Row],[Unit Price]]</f>
        <v>0</v>
      </c>
      <c r="I21" s="8"/>
      <c r="J21" s="21"/>
      <c r="K21" s="8">
        <v>0.24</v>
      </c>
      <c r="L21" s="6">
        <f>(KAZOULIS[[#This Row],[Total]] * (1 - KAZOULIS[[#This Row],[Discount (%)]]) + KAZOULIS[[#This Row],[ΕΦΚ]]) * (1 + KAZOULIS[[#This Row],[TAX (%)]])</f>
        <v>0</v>
      </c>
      <c r="M21" s="47"/>
    </row>
    <row r="22" spans="1:13">
      <c r="A22" s="19">
        <v>46011</v>
      </c>
      <c r="B22" s="24">
        <v>419</v>
      </c>
      <c r="C22" s="7" t="s">
        <v>107</v>
      </c>
      <c r="D22" s="7" t="s">
        <v>65</v>
      </c>
      <c r="E22" s="7" t="s">
        <v>48</v>
      </c>
      <c r="F22" s="23">
        <v>100</v>
      </c>
      <c r="G22" s="31">
        <v>4.2000000000000003E-2</v>
      </c>
      <c r="H22" s="21">
        <f>KAZOULIS[[#This Row],[Quantity]]*KAZOULIS[[#This Row],[Unit Price]]</f>
        <v>4.2</v>
      </c>
      <c r="I22" s="8"/>
      <c r="J22" s="21"/>
      <c r="K22" s="8">
        <v>0.24</v>
      </c>
      <c r="L22" s="6">
        <f>(KAZOULIS[[#This Row],[Total]] * (1 - KAZOULIS[[#This Row],[Discount (%)]]) + KAZOULIS[[#This Row],[ΕΦΚ]]) * (1 + KAZOULIS[[#This Row],[TAX (%)]])</f>
        <v>5.2080000000000002</v>
      </c>
    </row>
    <row r="23" spans="1:13">
      <c r="A23" s="19">
        <v>46011</v>
      </c>
      <c r="B23" s="24">
        <v>419</v>
      </c>
      <c r="C23" s="7" t="s">
        <v>83</v>
      </c>
      <c r="D23" s="7" t="s">
        <v>70</v>
      </c>
      <c r="E23" s="7" t="s">
        <v>48</v>
      </c>
      <c r="F23" s="23">
        <v>1</v>
      </c>
      <c r="G23" s="31">
        <v>0</v>
      </c>
      <c r="H23" s="21">
        <f>KAZOULIS[[#This Row],[Quantity]]*KAZOULIS[[#This Row],[Unit Price]]</f>
        <v>0</v>
      </c>
      <c r="I23" s="8"/>
      <c r="J23" s="21"/>
      <c r="K23" s="8">
        <v>0.13</v>
      </c>
      <c r="L23" s="6">
        <f>(KAZOULIS[[#This Row],[Total]] * (1 - KAZOULIS[[#This Row],[Discount (%)]]) + KAZOULIS[[#This Row],[ΕΦΚ]]) * (1 + KAZOULIS[[#This Row],[TAX (%)]])</f>
        <v>0</v>
      </c>
    </row>
    <row r="24" spans="1:13">
      <c r="A24" s="19">
        <v>45990</v>
      </c>
      <c r="B24" s="24">
        <v>247</v>
      </c>
      <c r="C24" s="7" t="s">
        <v>57</v>
      </c>
      <c r="D24" s="7" t="s">
        <v>69</v>
      </c>
      <c r="E24" s="7" t="s">
        <v>59</v>
      </c>
      <c r="F24" s="23">
        <v>1</v>
      </c>
      <c r="G24" s="31">
        <v>20.3</v>
      </c>
      <c r="H24" s="21">
        <f>KAZOULIS[[#This Row],[Quantity]]*KAZOULIS[[#This Row],[Unit Price]]</f>
        <v>20.3</v>
      </c>
      <c r="I24" s="8"/>
      <c r="J24" s="21">
        <v>2.4</v>
      </c>
      <c r="K24" s="8">
        <v>0.13</v>
      </c>
      <c r="L24" s="6">
        <f>(KAZOULIS[[#This Row],[Total]] * (1 - KAZOULIS[[#This Row],[Discount (%)]]) + KAZOULIS[[#This Row],[ΕΦΚ]]) * (1 + KAZOULIS[[#This Row],[TAX (%)]])</f>
        <v>25.650999999999996</v>
      </c>
    </row>
    <row r="25" spans="1:13">
      <c r="A25" s="19">
        <v>45989</v>
      </c>
      <c r="B25" s="24">
        <v>234</v>
      </c>
      <c r="C25" s="7" t="s">
        <v>57</v>
      </c>
      <c r="D25" s="7" t="s">
        <v>68</v>
      </c>
      <c r="E25" s="7" t="s">
        <v>59</v>
      </c>
      <c r="F25" s="23">
        <v>1</v>
      </c>
      <c r="G25" s="31">
        <v>17.440000000000001</v>
      </c>
      <c r="H25" s="21">
        <f>KAZOULIS[[#This Row],[Quantity]]*KAZOULIS[[#This Row],[Unit Price]]</f>
        <v>17.440000000000001</v>
      </c>
      <c r="I25" s="8"/>
      <c r="J25" s="21">
        <v>2.4</v>
      </c>
      <c r="K25" s="8">
        <v>0.13</v>
      </c>
      <c r="L25" s="6">
        <f>(KAZOULIS[[#This Row],[Total]] * (1 - KAZOULIS[[#This Row],[Discount (%)]]) + KAZOULIS[[#This Row],[ΕΦΚ]]) * (1 + KAZOULIS[[#This Row],[TAX (%)]])</f>
        <v>22.419199999999996</v>
      </c>
    </row>
    <row r="26" spans="1:13">
      <c r="A26" s="19">
        <v>45989</v>
      </c>
      <c r="B26" s="24">
        <v>234</v>
      </c>
      <c r="C26" s="7" t="s">
        <v>57</v>
      </c>
      <c r="D26" s="7" t="s">
        <v>58</v>
      </c>
      <c r="E26" s="7" t="s">
        <v>59</v>
      </c>
      <c r="F26" s="23">
        <v>6</v>
      </c>
      <c r="G26" s="31">
        <v>26.5</v>
      </c>
      <c r="H26" s="21">
        <f>KAZOULIS[[#This Row],[Quantity]]*KAZOULIS[[#This Row],[Unit Price]]</f>
        <v>159</v>
      </c>
      <c r="I26" s="8"/>
      <c r="J26" s="21">
        <v>18</v>
      </c>
      <c r="K26" s="8">
        <v>0.13</v>
      </c>
      <c r="L26" s="6">
        <f>(KAZOULIS[[#This Row],[Total]] * (1 - KAZOULIS[[#This Row],[Discount (%)]]) + KAZOULIS[[#This Row],[ΕΦΚ]]) * (1 + KAZOULIS[[#This Row],[TAX (%)]])</f>
        <v>200.01</v>
      </c>
    </row>
    <row r="27" spans="1:13">
      <c r="A27" s="19">
        <v>45975</v>
      </c>
      <c r="B27" s="24">
        <v>121</v>
      </c>
      <c r="C27" s="7" t="s">
        <v>57</v>
      </c>
      <c r="D27" s="7" t="s">
        <v>67</v>
      </c>
      <c r="E27" s="7" t="s">
        <v>48</v>
      </c>
      <c r="F27" s="23">
        <v>100</v>
      </c>
      <c r="G27" s="31">
        <v>0.42</v>
      </c>
      <c r="H27" s="21">
        <f>KAZOULIS[[#This Row],[Quantity]]*KAZOULIS[[#This Row],[Unit Price]]</f>
        <v>42</v>
      </c>
      <c r="I27" s="8"/>
      <c r="J27" s="21">
        <v>1.5</v>
      </c>
      <c r="K27" s="8">
        <v>0.13</v>
      </c>
      <c r="L27" s="6">
        <f>(KAZOULIS[[#This Row],[Total]] * (1 - KAZOULIS[[#This Row],[Discount (%)]]) + KAZOULIS[[#This Row],[ΕΦΚ]]) * (1 + KAZOULIS[[#This Row],[TAX (%)]])</f>
        <v>49.154999999999994</v>
      </c>
    </row>
    <row r="28" spans="1:13">
      <c r="A28" s="19">
        <v>45965</v>
      </c>
      <c r="B28" s="24">
        <v>24</v>
      </c>
      <c r="C28" s="7" t="s">
        <v>107</v>
      </c>
      <c r="D28" s="7" t="s">
        <v>74</v>
      </c>
      <c r="E28" s="7" t="s">
        <v>48</v>
      </c>
      <c r="F28" s="23">
        <v>50</v>
      </c>
      <c r="G28" s="31">
        <v>4.7E-2</v>
      </c>
      <c r="H28" s="21">
        <f>KAZOULIS[[#This Row],[Quantity]]*KAZOULIS[[#This Row],[Unit Price]]</f>
        <v>2.35</v>
      </c>
      <c r="I28" s="8"/>
      <c r="J28" s="21"/>
      <c r="K28" s="8">
        <v>0.24</v>
      </c>
      <c r="L28" s="6">
        <f>(KAZOULIS[[#This Row],[Total]] * (1 - KAZOULIS[[#This Row],[Discount (%)]]) + KAZOULIS[[#This Row],[ΕΦΚ]]) * (1 + KAZOULIS[[#This Row],[TAX (%)]])</f>
        <v>2.9140000000000001</v>
      </c>
    </row>
    <row r="29" spans="1:13">
      <c r="A29" s="19">
        <v>45965</v>
      </c>
      <c r="B29" s="24">
        <v>24</v>
      </c>
      <c r="C29" s="7" t="s">
        <v>107</v>
      </c>
      <c r="D29" s="7" t="s">
        <v>65</v>
      </c>
      <c r="E29" s="7" t="s">
        <v>48</v>
      </c>
      <c r="F29" s="23">
        <v>50</v>
      </c>
      <c r="G29" s="31">
        <v>4.2000000000000003E-2</v>
      </c>
      <c r="H29" s="21">
        <f>KAZOULIS[[#This Row],[Quantity]]*KAZOULIS[[#This Row],[Unit Price]]</f>
        <v>2.1</v>
      </c>
      <c r="I29" s="8"/>
      <c r="J29" s="21"/>
      <c r="K29" s="8">
        <v>0.24</v>
      </c>
      <c r="L29" s="6">
        <f>(KAZOULIS[[#This Row],[Total]] * (1 - KAZOULIS[[#This Row],[Discount (%)]]) + KAZOULIS[[#This Row],[ΕΦΚ]]) * (1 + KAZOULIS[[#This Row],[TAX (%)]])</f>
        <v>2.6040000000000001</v>
      </c>
    </row>
    <row r="30" spans="1:13">
      <c r="A30" s="19">
        <v>45965</v>
      </c>
      <c r="B30" s="24">
        <v>24</v>
      </c>
      <c r="C30" s="7" t="s">
        <v>57</v>
      </c>
      <c r="D30" s="7" t="s">
        <v>58</v>
      </c>
      <c r="E30" s="7" t="s">
        <v>59</v>
      </c>
      <c r="F30" s="23">
        <v>6</v>
      </c>
      <c r="G30" s="31">
        <v>26.5</v>
      </c>
      <c r="H30" s="21">
        <f>KAZOULIS[[#This Row],[Quantity]]*KAZOULIS[[#This Row],[Unit Price]]</f>
        <v>159</v>
      </c>
      <c r="I30" s="8"/>
      <c r="J30" s="21">
        <v>18</v>
      </c>
      <c r="K30" s="8">
        <v>0.13</v>
      </c>
      <c r="L30" s="6">
        <f>(KAZOULIS[[#This Row],[Total]] * (1 - KAZOULIS[[#This Row],[Discount (%)]]) + KAZOULIS[[#This Row],[ΕΦΚ]]) * (1 + KAZOULIS[[#This Row],[TAX (%)]])</f>
        <v>200.01</v>
      </c>
    </row>
    <row r="31" spans="1:13">
      <c r="A31" s="19">
        <v>45965</v>
      </c>
      <c r="B31" s="24">
        <v>24</v>
      </c>
      <c r="C31" s="7" t="s">
        <v>106</v>
      </c>
      <c r="D31" s="7" t="s">
        <v>64</v>
      </c>
      <c r="E31" s="7" t="s">
        <v>125</v>
      </c>
      <c r="F31" s="23">
        <v>1</v>
      </c>
      <c r="G31" s="31">
        <v>4.33</v>
      </c>
      <c r="H31" s="21">
        <f>KAZOULIS[[#This Row],[Quantity]]*KAZOULIS[[#This Row],[Unit Price]]</f>
        <v>4.33</v>
      </c>
      <c r="I31" s="8"/>
      <c r="J31" s="21"/>
      <c r="K31" s="8">
        <v>0.13</v>
      </c>
      <c r="L31" s="6">
        <f>(KAZOULIS[[#This Row],[Total]] * (1 - KAZOULIS[[#This Row],[Discount (%)]]) + KAZOULIS[[#This Row],[ΕΦΚ]]) * (1 + KAZOULIS[[#This Row],[TAX (%)]])</f>
        <v>4.8929</v>
      </c>
    </row>
    <row r="32" spans="1:13">
      <c r="A32" s="19">
        <v>45965</v>
      </c>
      <c r="B32" s="24">
        <v>24</v>
      </c>
      <c r="C32" s="7" t="s">
        <v>106</v>
      </c>
      <c r="D32" s="7" t="s">
        <v>60</v>
      </c>
      <c r="E32" s="7" t="s">
        <v>125</v>
      </c>
      <c r="F32" s="23">
        <v>1</v>
      </c>
      <c r="G32" s="31">
        <v>4.33</v>
      </c>
      <c r="H32" s="21">
        <f>KAZOULIS[[#This Row],[Quantity]]*KAZOULIS[[#This Row],[Unit Price]]</f>
        <v>4.33</v>
      </c>
      <c r="I32" s="8"/>
      <c r="J32" s="21"/>
      <c r="K32" s="8">
        <v>0.13</v>
      </c>
      <c r="L32" s="6">
        <f>(KAZOULIS[[#This Row],[Total]] * (1 - KAZOULIS[[#This Row],[Discount (%)]]) + KAZOULIS[[#This Row],[ΕΦΚ]]) * (1 + KAZOULIS[[#This Row],[TAX (%)]])</f>
        <v>4.8929</v>
      </c>
    </row>
    <row r="33" spans="1:12">
      <c r="A33" s="19">
        <v>45965</v>
      </c>
      <c r="B33" s="24">
        <v>24</v>
      </c>
      <c r="C33" s="7" t="s">
        <v>106</v>
      </c>
      <c r="D33" s="7" t="s">
        <v>61</v>
      </c>
      <c r="E33" s="7" t="s">
        <v>125</v>
      </c>
      <c r="F33" s="23">
        <v>1</v>
      </c>
      <c r="G33" s="31">
        <v>4.33</v>
      </c>
      <c r="H33" s="21">
        <f>KAZOULIS[[#This Row],[Quantity]]*KAZOULIS[[#This Row],[Unit Price]]</f>
        <v>4.33</v>
      </c>
      <c r="I33" s="8"/>
      <c r="J33" s="21"/>
      <c r="K33" s="8">
        <v>0.13</v>
      </c>
      <c r="L33" s="6">
        <f>(KAZOULIS[[#This Row],[Total]] * (1 - KAZOULIS[[#This Row],[Discount (%)]]) + KAZOULIS[[#This Row],[ΕΦΚ]]) * (1 + KAZOULIS[[#This Row],[TAX (%)]])</f>
        <v>4.8929</v>
      </c>
    </row>
    <row r="34" spans="1:12">
      <c r="A34" s="19">
        <v>45951</v>
      </c>
      <c r="B34" s="24">
        <v>3909</v>
      </c>
      <c r="C34" s="7" t="s">
        <v>107</v>
      </c>
      <c r="D34" s="7" t="s">
        <v>62</v>
      </c>
      <c r="E34" s="7" t="s">
        <v>48</v>
      </c>
      <c r="F34" s="23">
        <v>1</v>
      </c>
      <c r="G34" s="31">
        <v>12</v>
      </c>
      <c r="H34" s="21">
        <f>KAZOULIS[[#This Row],[Quantity]]*KAZOULIS[[#This Row],[Unit Price]]</f>
        <v>12</v>
      </c>
      <c r="I34" s="8"/>
      <c r="J34" s="21"/>
      <c r="K34" s="8">
        <v>0.24</v>
      </c>
      <c r="L34" s="6">
        <f>(KAZOULIS[[#This Row],[Total]] * (1 - KAZOULIS[[#This Row],[Discount (%)]]) + KAZOULIS[[#This Row],[ΕΦΚ]]) * (1 + KAZOULIS[[#This Row],[TAX (%)]])</f>
        <v>14.879999999999999</v>
      </c>
    </row>
    <row r="35" spans="1:12">
      <c r="A35" s="19">
        <v>45951</v>
      </c>
      <c r="B35" s="24">
        <v>3909</v>
      </c>
      <c r="C35" s="7" t="s">
        <v>83</v>
      </c>
      <c r="D35" s="7" t="s">
        <v>63</v>
      </c>
      <c r="E35" s="7" t="s">
        <v>49</v>
      </c>
      <c r="F35" s="23">
        <v>1</v>
      </c>
      <c r="G35" s="31">
        <v>18.850000000000001</v>
      </c>
      <c r="H35" s="21">
        <f>KAZOULIS[[#This Row],[Quantity]]*KAZOULIS[[#This Row],[Unit Price]]</f>
        <v>18.850000000000001</v>
      </c>
      <c r="I35" s="8"/>
      <c r="J35" s="21"/>
      <c r="K35" s="8">
        <v>0.13</v>
      </c>
      <c r="L35" s="6">
        <f>(KAZOULIS[[#This Row],[Total]] * (1 - KAZOULIS[[#This Row],[Discount (%)]]) + KAZOULIS[[#This Row],[ΕΦΚ]]) * (1 + KAZOULIS[[#This Row],[TAX (%)]])</f>
        <v>21.3005</v>
      </c>
    </row>
    <row r="36" spans="1:12">
      <c r="A36" s="19">
        <v>45951</v>
      </c>
      <c r="B36" s="24">
        <v>3909</v>
      </c>
      <c r="C36" s="7" t="s">
        <v>57</v>
      </c>
      <c r="D36" s="7" t="s">
        <v>58</v>
      </c>
      <c r="E36" s="7" t="s">
        <v>59</v>
      </c>
      <c r="F36" s="23">
        <v>4</v>
      </c>
      <c r="G36" s="31">
        <v>26.5</v>
      </c>
      <c r="H36" s="21">
        <f>KAZOULIS[[#This Row],[Quantity]]*KAZOULIS[[#This Row],[Unit Price]]</f>
        <v>106</v>
      </c>
      <c r="I36" s="8"/>
      <c r="J36" s="21">
        <v>12</v>
      </c>
      <c r="K36" s="8">
        <v>0.13</v>
      </c>
      <c r="L36" s="6">
        <f>(KAZOULIS[[#This Row],[Total]] * (1 - KAZOULIS[[#This Row],[Discount (%)]]) + KAZOULIS[[#This Row],[ΕΦΚ]]) * (1 + KAZOULIS[[#This Row],[TAX (%)]])</f>
        <v>133.33999999999997</v>
      </c>
    </row>
    <row r="37" spans="1:12">
      <c r="A37" s="19">
        <v>45951</v>
      </c>
      <c r="B37" s="24">
        <v>3909</v>
      </c>
      <c r="C37" s="7" t="s">
        <v>106</v>
      </c>
      <c r="D37" s="7" t="s">
        <v>60</v>
      </c>
      <c r="E37" s="7" t="s">
        <v>125</v>
      </c>
      <c r="F37" s="23">
        <v>1</v>
      </c>
      <c r="G37" s="31">
        <v>4.33</v>
      </c>
      <c r="H37" s="21">
        <f>KAZOULIS[[#This Row],[Quantity]]*KAZOULIS[[#This Row],[Unit Price]]</f>
        <v>4.33</v>
      </c>
      <c r="I37" s="8"/>
      <c r="J37" s="21"/>
      <c r="K37" s="8">
        <v>0.13</v>
      </c>
      <c r="L37" s="6">
        <f>(KAZOULIS[[#This Row],[Total]] * (1 - KAZOULIS[[#This Row],[Discount (%)]]) + KAZOULIS[[#This Row],[ΕΦΚ]]) * (1 + KAZOULIS[[#This Row],[TAX (%)]])</f>
        <v>4.8929</v>
      </c>
    </row>
    <row r="38" spans="1:12">
      <c r="A38" s="19">
        <v>45951</v>
      </c>
      <c r="B38" s="24">
        <v>3909</v>
      </c>
      <c r="C38" s="7" t="s">
        <v>106</v>
      </c>
      <c r="D38" s="7" t="s">
        <v>61</v>
      </c>
      <c r="E38" s="7" t="s">
        <v>125</v>
      </c>
      <c r="F38" s="23">
        <v>1</v>
      </c>
      <c r="G38" s="31">
        <v>4.33</v>
      </c>
      <c r="H38" s="21">
        <f>KAZOULIS[[#This Row],[Quantity]]*KAZOULIS[[#This Row],[Unit Price]]</f>
        <v>4.33</v>
      </c>
      <c r="I38" s="8"/>
      <c r="J38" s="21"/>
      <c r="K38" s="8">
        <v>0.13</v>
      </c>
      <c r="L38" s="6">
        <f>(KAZOULIS[[#This Row],[Total]] * (1 - KAZOULIS[[#This Row],[Discount (%)]]) + KAZOULIS[[#This Row],[ΕΦΚ]]) * (1 + KAZOULIS[[#This Row],[TAX (%)]])</f>
        <v>4.8929</v>
      </c>
    </row>
  </sheetData>
  <dataConsolidate/>
  <phoneticPr fontId="6" type="noConversion"/>
  <dataValidations count="3">
    <dataValidation type="date" allowBlank="1" showInputMessage="1" showErrorMessage="1" sqref="A1:A38" xr:uid="{6DB1CA7F-8BE0-406F-933B-4274D70334E2}">
      <formula1>1</formula1>
      <formula2>401404</formula2>
    </dataValidation>
    <dataValidation type="list" showInputMessage="1" showErrorMessage="1" sqref="E1:E1048576" xr:uid="{28DDD07D-B0C1-4492-84A7-A241A73F16CD}">
      <formula1>"ΤΕΜ,ΚΙΒ,ΦΙΑ,ΚΙΛΑ,ΛΙΤΡΑ,ΠΑΚ,ΑΛΛΟ"</formula1>
    </dataValidation>
    <dataValidation type="list" showInputMessage="1" showErrorMessage="1" sqref="C1:C1048576" xr:uid="{87025209-DF36-4A9C-828A-6E5ECBFC4609}">
      <formula1>"COFFEE,BEVERAGE,WINE,BEER,FOOD,DAIRY,ALCOHOL,NON-FOOD"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1D22-1252-4D73-B119-DB1CE16D0C86}">
  <dimension ref="A1:L19"/>
  <sheetViews>
    <sheetView zoomScale="115" zoomScaleNormal="115" workbookViewId="0">
      <pane ySplit="1" topLeftCell="A2" activePane="bottomLeft" state="frozen"/>
      <selection pane="bottomLeft" activeCell="E1" sqref="E1:E1048576"/>
    </sheetView>
  </sheetViews>
  <sheetFormatPr defaultRowHeight="14"/>
  <cols>
    <col min="1" max="1" width="11.7265625" style="7" bestFit="1" customWidth="1"/>
    <col min="2" max="2" width="12.81640625" style="7" bestFit="1" customWidth="1"/>
    <col min="3" max="3" width="12" style="7" bestFit="1" customWidth="1"/>
    <col min="4" max="4" width="51.36328125" style="7" bestFit="1" customWidth="1"/>
    <col min="5" max="5" width="7.26953125" style="7" bestFit="1" customWidth="1"/>
    <col min="6" max="6" width="10.90625" style="7" bestFit="1" customWidth="1"/>
    <col min="7" max="7" width="13.453125" style="34" bestFit="1" customWidth="1"/>
    <col min="8" max="8" width="9.6328125" style="9" bestFit="1" customWidth="1"/>
    <col min="9" max="9" width="14.90625" style="8" bestFit="1" customWidth="1"/>
    <col min="10" max="10" width="8.7265625" style="9" bestFit="1" customWidth="1"/>
    <col min="11" max="11" width="10.7265625" style="8" bestFit="1" customWidth="1"/>
    <col min="12" max="12" width="12.54296875" style="6" bestFit="1" customWidth="1"/>
    <col min="13" max="13" width="10.1796875" style="7" bestFit="1" customWidth="1"/>
    <col min="14" max="16384" width="8.7265625" style="7"/>
  </cols>
  <sheetData>
    <row r="1" spans="1:12" s="15" customFormat="1">
      <c r="A1" s="15" t="s">
        <v>6</v>
      </c>
      <c r="B1" s="15" t="s">
        <v>104</v>
      </c>
      <c r="C1" s="15" t="s">
        <v>13</v>
      </c>
      <c r="D1" s="15" t="s">
        <v>103</v>
      </c>
      <c r="E1" s="15" t="s">
        <v>47</v>
      </c>
      <c r="F1" s="15" t="s">
        <v>7</v>
      </c>
      <c r="G1" s="33" t="s">
        <v>9</v>
      </c>
      <c r="H1" s="30" t="s">
        <v>8</v>
      </c>
      <c r="I1" s="17" t="s">
        <v>10</v>
      </c>
      <c r="J1" s="30" t="s">
        <v>66</v>
      </c>
      <c r="K1" s="17" t="s">
        <v>35</v>
      </c>
      <c r="L1" s="16" t="s">
        <v>14</v>
      </c>
    </row>
    <row r="2" spans="1:12">
      <c r="A2" s="19">
        <v>45954</v>
      </c>
      <c r="B2" s="7">
        <v>1777</v>
      </c>
      <c r="C2" s="7" t="s">
        <v>36</v>
      </c>
      <c r="D2" s="7" t="s">
        <v>34</v>
      </c>
      <c r="E2" s="7" t="s">
        <v>55</v>
      </c>
      <c r="F2" s="7">
        <v>1</v>
      </c>
      <c r="G2" s="34">
        <v>6.95</v>
      </c>
      <c r="H2" s="9">
        <f>Table64[[#This Row],[Quantity]]*Table64[[#This Row],[Unit Price]]</f>
        <v>6.95</v>
      </c>
      <c r="I2" s="8">
        <v>0.1</v>
      </c>
      <c r="K2" s="8">
        <v>0.24</v>
      </c>
      <c r="L2" s="6">
        <f>(Table64[[#This Row],[Total]] * (1 - Table64[[#This Row],[Discount (%)]]) + Table64[[#This Row],[ΕΦΚ]]) * (1 + Table64[[#This Row],[TAX (%)]])</f>
        <v>7.7561999999999998</v>
      </c>
    </row>
    <row r="3" spans="1:12">
      <c r="A3" s="19">
        <v>45962</v>
      </c>
      <c r="B3" s="7">
        <v>1794</v>
      </c>
      <c r="C3" s="7" t="s">
        <v>106</v>
      </c>
      <c r="D3" s="7" t="s">
        <v>37</v>
      </c>
      <c r="E3" s="7" t="s">
        <v>48</v>
      </c>
      <c r="F3" s="7">
        <v>6</v>
      </c>
      <c r="G3" s="34">
        <v>3.3</v>
      </c>
      <c r="H3" s="9">
        <f>Table64[[#This Row],[Quantity]]*Table64[[#This Row],[Unit Price]]</f>
        <v>19.799999999999997</v>
      </c>
      <c r="K3" s="8">
        <v>0.13</v>
      </c>
      <c r="L3" s="6">
        <f>(Table64[[#This Row],[Total]] * (1 - Table64[[#This Row],[Discount (%)]]) + Table64[[#This Row],[ΕΦΚ]]) * (1 + Table64[[#This Row],[TAX (%)]])</f>
        <v>22.373999999999995</v>
      </c>
    </row>
    <row r="4" spans="1:12">
      <c r="A4" s="19">
        <v>45962</v>
      </c>
      <c r="B4" s="7">
        <v>1794</v>
      </c>
      <c r="C4" s="7" t="s">
        <v>36</v>
      </c>
      <c r="D4" s="7" t="s">
        <v>38</v>
      </c>
      <c r="E4" s="7" t="s">
        <v>55</v>
      </c>
      <c r="F4" s="7">
        <v>24</v>
      </c>
      <c r="G4" s="34">
        <v>1.55</v>
      </c>
      <c r="H4" s="9">
        <f>Table64[[#This Row],[Quantity]]*Table64[[#This Row],[Unit Price]]</f>
        <v>37.200000000000003</v>
      </c>
      <c r="K4" s="8">
        <v>0.24</v>
      </c>
      <c r="L4" s="6">
        <f>(Table64[[#This Row],[Total]] * (1 - Table64[[#This Row],[Discount (%)]]) + Table64[[#This Row],[ΕΦΚ]]) * (1 + Table64[[#This Row],[TAX (%)]])</f>
        <v>46.128</v>
      </c>
    </row>
    <row r="5" spans="1:12">
      <c r="A5" s="19">
        <v>45658</v>
      </c>
      <c r="B5" s="7">
        <v>1794</v>
      </c>
      <c r="C5" s="7" t="s">
        <v>36</v>
      </c>
      <c r="D5" s="7" t="s">
        <v>40</v>
      </c>
      <c r="E5" s="7" t="s">
        <v>55</v>
      </c>
      <c r="F5" s="7">
        <v>24</v>
      </c>
      <c r="G5" s="34">
        <v>1.45</v>
      </c>
      <c r="H5" s="9">
        <f>Table64[[#This Row],[Quantity]]*Table64[[#This Row],[Unit Price]]</f>
        <v>34.799999999999997</v>
      </c>
      <c r="K5" s="8">
        <v>0.24</v>
      </c>
      <c r="L5" s="6">
        <f>(Table64[[#This Row],[Total]] * (1 - Table64[[#This Row],[Discount (%)]]) + Table64[[#This Row],[ΕΦΚ]]) * (1 + Table64[[#This Row],[TAX (%)]])</f>
        <v>43.151999999999994</v>
      </c>
    </row>
    <row r="6" spans="1:12">
      <c r="A6" s="19">
        <v>46001</v>
      </c>
      <c r="B6" s="7">
        <v>1825</v>
      </c>
      <c r="C6" s="7" t="s">
        <v>36</v>
      </c>
      <c r="D6" s="7" t="s">
        <v>39</v>
      </c>
      <c r="E6" s="7" t="s">
        <v>55</v>
      </c>
      <c r="F6" s="7">
        <v>24</v>
      </c>
      <c r="G6" s="34">
        <v>1.55</v>
      </c>
      <c r="H6" s="9">
        <f>Table64[[#This Row],[Quantity]]*Table64[[#This Row],[Unit Price]]</f>
        <v>37.200000000000003</v>
      </c>
      <c r="K6" s="8">
        <v>0.24</v>
      </c>
      <c r="L6" s="6">
        <f>(Table64[[#This Row],[Total]] * (1 - Table64[[#This Row],[Discount (%)]]) + Table64[[#This Row],[ΕΦΚ]]) * (1 + Table64[[#This Row],[TAX (%)]])</f>
        <v>46.128</v>
      </c>
    </row>
    <row r="7" spans="1:12">
      <c r="A7" s="19">
        <v>46105</v>
      </c>
      <c r="B7" s="7">
        <v>82</v>
      </c>
      <c r="C7" s="7" t="s">
        <v>36</v>
      </c>
      <c r="D7" s="7" t="s">
        <v>41</v>
      </c>
      <c r="E7" s="7" t="s">
        <v>55</v>
      </c>
      <c r="F7" s="7">
        <v>3</v>
      </c>
      <c r="G7" s="34">
        <v>9.5</v>
      </c>
      <c r="H7" s="9">
        <f>Table64[[#This Row],[Quantity]]*Table64[[#This Row],[Unit Price]]</f>
        <v>28.5</v>
      </c>
      <c r="K7" s="8">
        <v>0.24</v>
      </c>
      <c r="L7" s="6">
        <f>(Table64[[#This Row],[Total]] * (1 - Table64[[#This Row],[Discount (%)]]) + Table64[[#This Row],[ΕΦΚ]]) * (1 + Table64[[#This Row],[TAX (%)]])</f>
        <v>35.339999999999996</v>
      </c>
    </row>
    <row r="8" spans="1:12">
      <c r="A8" s="19">
        <v>46105</v>
      </c>
      <c r="B8" s="7">
        <v>82</v>
      </c>
      <c r="C8" s="7" t="s">
        <v>36</v>
      </c>
      <c r="D8" s="7" t="s">
        <v>34</v>
      </c>
      <c r="E8" s="7" t="s">
        <v>55</v>
      </c>
      <c r="F8" s="7">
        <v>3</v>
      </c>
      <c r="G8" s="34">
        <v>6.25</v>
      </c>
      <c r="H8" s="9">
        <f>Table64[[#This Row],[Quantity]]*Table64[[#This Row],[Unit Price]]</f>
        <v>18.75</v>
      </c>
      <c r="K8" s="8">
        <v>0.24</v>
      </c>
      <c r="L8" s="6">
        <f>(Table64[[#This Row],[Total]] * (1 - Table64[[#This Row],[Discount (%)]]) + Table64[[#This Row],[ΕΦΚ]]) * (1 + Table64[[#This Row],[TAX (%)]])</f>
        <v>23.25</v>
      </c>
    </row>
    <row r="9" spans="1:12">
      <c r="A9" s="19">
        <v>46105</v>
      </c>
      <c r="B9" s="7">
        <v>82</v>
      </c>
      <c r="C9" s="7" t="s">
        <v>36</v>
      </c>
      <c r="D9" s="7" t="s">
        <v>42</v>
      </c>
      <c r="E9" s="7" t="s">
        <v>55</v>
      </c>
      <c r="F9" s="7">
        <v>3</v>
      </c>
      <c r="G9" s="34">
        <v>11.9</v>
      </c>
      <c r="H9" s="9">
        <f>Table64[[#This Row],[Quantity]]*Table64[[#This Row],[Unit Price]]</f>
        <v>35.700000000000003</v>
      </c>
      <c r="K9" s="8">
        <v>0.24</v>
      </c>
      <c r="L9" s="6">
        <f>(Table64[[#This Row],[Total]] * (1 - Table64[[#This Row],[Discount (%)]]) + Table64[[#This Row],[ΕΦΚ]]) * (1 + Table64[[#This Row],[TAX (%)]])</f>
        <v>44.268000000000001</v>
      </c>
    </row>
    <row r="10" spans="1:12">
      <c r="A10" s="19">
        <v>46105</v>
      </c>
      <c r="B10" s="7">
        <v>82</v>
      </c>
      <c r="C10" s="7" t="s">
        <v>36</v>
      </c>
      <c r="D10" s="7" t="s">
        <v>43</v>
      </c>
      <c r="E10" s="7" t="s">
        <v>55</v>
      </c>
      <c r="F10" s="7">
        <v>3</v>
      </c>
      <c r="G10" s="34">
        <v>11.9</v>
      </c>
      <c r="H10" s="9">
        <f>Table64[[#This Row],[Quantity]]*Table64[[#This Row],[Unit Price]]</f>
        <v>35.700000000000003</v>
      </c>
      <c r="K10" s="8">
        <v>0.24</v>
      </c>
      <c r="L10" s="6">
        <f>(Table64[[#This Row],[Total]] * (1 - Table64[[#This Row],[Discount (%)]]) + Table64[[#This Row],[ΕΦΚ]]) * (1 + Table64[[#This Row],[TAX (%)]])</f>
        <v>44.268000000000001</v>
      </c>
    </row>
    <row r="11" spans="1:12">
      <c r="A11" s="19">
        <v>46105</v>
      </c>
      <c r="B11" s="7">
        <v>82</v>
      </c>
      <c r="C11" s="7" t="s">
        <v>36</v>
      </c>
      <c r="D11" s="7" t="s">
        <v>44</v>
      </c>
      <c r="E11" s="7" t="s">
        <v>55</v>
      </c>
      <c r="F11" s="7">
        <v>2</v>
      </c>
      <c r="G11" s="34">
        <v>22.9</v>
      </c>
      <c r="H11" s="9">
        <f>Table64[[#This Row],[Quantity]]*Table64[[#This Row],[Unit Price]]</f>
        <v>45.8</v>
      </c>
      <c r="K11" s="8">
        <v>0.24</v>
      </c>
      <c r="L11" s="6">
        <f>(Table64[[#This Row],[Total]] * (1 - Table64[[#This Row],[Discount (%)]]) + Table64[[#This Row],[ΕΦΚ]]) * (1 + Table64[[#This Row],[TAX (%)]])</f>
        <v>56.791999999999994</v>
      </c>
    </row>
    <row r="12" spans="1:12">
      <c r="A12" s="19">
        <v>46105</v>
      </c>
      <c r="B12" s="7">
        <v>82</v>
      </c>
      <c r="C12" s="7" t="s">
        <v>36</v>
      </c>
      <c r="D12" s="7" t="s">
        <v>45</v>
      </c>
      <c r="E12" s="7" t="s">
        <v>55</v>
      </c>
      <c r="F12" s="7">
        <v>3</v>
      </c>
      <c r="G12" s="34">
        <v>15.9</v>
      </c>
      <c r="H12" s="9">
        <f>Table64[[#This Row],[Quantity]]*Table64[[#This Row],[Unit Price]]</f>
        <v>47.7</v>
      </c>
      <c r="K12" s="8">
        <v>0.24</v>
      </c>
      <c r="L12" s="6">
        <f>(Table64[[#This Row],[Total]] * (1 - Table64[[#This Row],[Discount (%)]]) + Table64[[#This Row],[ΕΦΚ]]) * (1 + Table64[[#This Row],[TAX (%)]])</f>
        <v>59.148000000000003</v>
      </c>
    </row>
    <row r="13" spans="1:12">
      <c r="A13" s="19">
        <v>46105</v>
      </c>
      <c r="B13" s="7">
        <v>82</v>
      </c>
      <c r="C13" s="7" t="s">
        <v>36</v>
      </c>
      <c r="D13" s="7" t="s">
        <v>46</v>
      </c>
      <c r="E13" s="7" t="s">
        <v>55</v>
      </c>
      <c r="F13" s="7">
        <v>2</v>
      </c>
      <c r="G13" s="34">
        <v>18.399999999999999</v>
      </c>
      <c r="H13" s="9">
        <f>Table64[[#This Row],[Quantity]]*Table64[[#This Row],[Unit Price]]</f>
        <v>36.799999999999997</v>
      </c>
      <c r="K13" s="8">
        <v>0.24</v>
      </c>
      <c r="L13" s="6">
        <f>(Table64[[#This Row],[Total]] * (1 - Table64[[#This Row],[Discount (%)]]) + Table64[[#This Row],[ΕΦΚ]]) * (1 + Table64[[#This Row],[TAX (%)]])</f>
        <v>45.631999999999998</v>
      </c>
    </row>
    <row r="14" spans="1:12">
      <c r="A14" s="19">
        <v>46116</v>
      </c>
      <c r="B14" s="7">
        <v>116</v>
      </c>
      <c r="C14" s="7" t="s">
        <v>106</v>
      </c>
      <c r="D14" s="7" t="s">
        <v>37</v>
      </c>
      <c r="E14" s="7" t="s">
        <v>48</v>
      </c>
      <c r="F14" s="7">
        <v>18</v>
      </c>
      <c r="G14" s="34">
        <v>3.3</v>
      </c>
      <c r="H14" s="9">
        <f>Table64[[#This Row],[Quantity]]*Table64[[#This Row],[Unit Price]]</f>
        <v>59.4</v>
      </c>
      <c r="K14" s="8">
        <v>0.13</v>
      </c>
      <c r="L14" s="6">
        <f>(Table64[[#This Row],[Total]] * (1 - Table64[[#This Row],[Discount (%)]]) + Table64[[#This Row],[ΕΦΚ]]) * (1 + Table64[[#This Row],[TAX (%)]])</f>
        <v>67.121999999999986</v>
      </c>
    </row>
    <row r="15" spans="1:12">
      <c r="A15" s="19">
        <v>46116</v>
      </c>
      <c r="B15" s="7">
        <v>116</v>
      </c>
      <c r="C15" s="7" t="s">
        <v>51</v>
      </c>
      <c r="D15" s="7" t="s">
        <v>50</v>
      </c>
      <c r="E15" s="7" t="s">
        <v>49</v>
      </c>
      <c r="F15" s="7">
        <v>1</v>
      </c>
      <c r="G15" s="34">
        <v>31.7</v>
      </c>
      <c r="H15" s="9">
        <f>Table64[[#This Row],[Quantity]]*Table64[[#This Row],[Unit Price]]</f>
        <v>31.7</v>
      </c>
      <c r="K15" s="8">
        <v>0.24</v>
      </c>
      <c r="L15" s="6">
        <f>(Table64[[#This Row],[Total]] * (1 - Table64[[#This Row],[Discount (%)]]) + Table64[[#This Row],[ΕΦΚ]]) * (1 + Table64[[#This Row],[TAX (%)]])</f>
        <v>39.308</v>
      </c>
    </row>
    <row r="16" spans="1:12">
      <c r="A16" s="19">
        <v>46116</v>
      </c>
      <c r="B16" s="7">
        <v>116</v>
      </c>
      <c r="C16" s="7" t="s">
        <v>51</v>
      </c>
      <c r="D16" s="7" t="s">
        <v>52</v>
      </c>
      <c r="E16" s="7" t="s">
        <v>49</v>
      </c>
      <c r="F16" s="7">
        <v>1</v>
      </c>
      <c r="G16" s="34">
        <v>28.16</v>
      </c>
      <c r="H16" s="9">
        <f>Table64[[#This Row],[Quantity]]*Table64[[#This Row],[Unit Price]]</f>
        <v>28.16</v>
      </c>
      <c r="K16" s="8">
        <v>0.24</v>
      </c>
      <c r="L16" s="6">
        <f>(Table64[[#This Row],[Total]] * (1 - Table64[[#This Row],[Discount (%)]]) + Table64[[#This Row],[ΕΦΚ]]) * (1 + Table64[[#This Row],[TAX (%)]])</f>
        <v>34.918399999999998</v>
      </c>
    </row>
    <row r="17" spans="1:12">
      <c r="A17" s="19">
        <v>46116</v>
      </c>
      <c r="B17" s="7">
        <v>116</v>
      </c>
      <c r="C17" s="7" t="s">
        <v>107</v>
      </c>
      <c r="D17" s="7" t="s">
        <v>53</v>
      </c>
      <c r="E17" s="7" t="s">
        <v>49</v>
      </c>
      <c r="F17" s="7">
        <v>1</v>
      </c>
      <c r="G17" s="34">
        <v>3</v>
      </c>
      <c r="H17" s="9">
        <f>Table64[[#This Row],[Quantity]]*Table64[[#This Row],[Unit Price]]</f>
        <v>3</v>
      </c>
      <c r="K17" s="8">
        <v>0</v>
      </c>
      <c r="L17" s="6">
        <f>(Table64[[#This Row],[Total]] * (1 - Table64[[#This Row],[Discount (%)]]) + Table64[[#This Row],[ΕΦΚ]]) * (1 + Table64[[#This Row],[TAX (%)]])</f>
        <v>3</v>
      </c>
    </row>
    <row r="18" spans="1:12">
      <c r="A18" s="19">
        <v>46116</v>
      </c>
      <c r="B18" s="7">
        <v>116</v>
      </c>
      <c r="C18" s="7" t="s">
        <v>107</v>
      </c>
      <c r="D18" s="7" t="s">
        <v>54</v>
      </c>
      <c r="E18" s="7" t="s">
        <v>55</v>
      </c>
      <c r="F18" s="7">
        <v>24</v>
      </c>
      <c r="G18" s="34">
        <v>0.11</v>
      </c>
      <c r="H18" s="9">
        <f>Table64[[#This Row],[Quantity]]*Table64[[#This Row],[Unit Price]]</f>
        <v>2.64</v>
      </c>
      <c r="K18" s="8">
        <v>0</v>
      </c>
      <c r="L18" s="6">
        <f>(Table64[[#This Row],[Total]] * (1 - Table64[[#This Row],[Discount (%)]]) + Table64[[#This Row],[ΕΦΚ]]) * (1 + Table64[[#This Row],[TAX (%)]])</f>
        <v>2.64</v>
      </c>
    </row>
    <row r="19" spans="1:12">
      <c r="A19" s="19">
        <v>46118</v>
      </c>
      <c r="B19" s="7">
        <v>118</v>
      </c>
      <c r="C19" s="7" t="s">
        <v>36</v>
      </c>
      <c r="D19" s="7" t="s">
        <v>40</v>
      </c>
      <c r="E19" s="7" t="s">
        <v>55</v>
      </c>
      <c r="F19" s="7">
        <v>48</v>
      </c>
      <c r="G19" s="34">
        <v>1.45</v>
      </c>
      <c r="H19" s="9">
        <f>Table64[[#This Row],[Quantity]]*Table64[[#This Row],[Unit Price]]</f>
        <v>69.599999999999994</v>
      </c>
      <c r="K19" s="8">
        <v>0.24</v>
      </c>
      <c r="L19" s="6">
        <f>(Table64[[#This Row],[Total]] * (1 - Table64[[#This Row],[Discount (%)]]) + Table64[[#This Row],[ΕΦΚ]]) * (1 + Table64[[#This Row],[TAX (%)]])</f>
        <v>86.303999999999988</v>
      </c>
    </row>
  </sheetData>
  <dataValidations count="3">
    <dataValidation type="date" allowBlank="1" showInputMessage="1" showErrorMessage="1" sqref="A1:A1048576" xr:uid="{23785277-5642-4E8F-9C07-CF85FE73ADBE}">
      <formula1>36161</formula1>
      <formula2>401404</formula2>
    </dataValidation>
    <dataValidation type="list" showInputMessage="1" showErrorMessage="1" sqref="E1:E1048576" xr:uid="{D8D24D04-C30B-4213-8C74-DC25C66AD296}">
      <formula1>"ΤΕΜ,ΚΙΒ,ΦΙΑ,ΚΙΛΑ,ΛΙΤΡΑ,ΠΑΚ,ΑΛΛΟ"</formula1>
    </dataValidation>
    <dataValidation type="list" showInputMessage="1" showErrorMessage="1" sqref="C1:C1048576" xr:uid="{E63B95AF-2682-4F29-8F52-A07D6CD5EEB9}">
      <formula1>"COFFEE,BEVERAGE,WINE,BEER,FOOD,DAIRY,ALCOHOL,NON-FOOD"</formula1>
    </dataValidation>
  </dataValidations>
  <pageMargins left="0.7" right="0.7" top="0.75" bottom="0.75" header="0.3" footer="0.3"/>
  <ignoredErrors>
    <ignoredError sqref="C1" listDataValidatio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workbookViewId="0">
      <pane ySplit="1" topLeftCell="A2" activePane="bottomLeft" state="frozen"/>
      <selection pane="bottomLeft" activeCell="E1" sqref="E1:E1048576"/>
    </sheetView>
  </sheetViews>
  <sheetFormatPr defaultColWidth="10.36328125" defaultRowHeight="14"/>
  <cols>
    <col min="1" max="1" width="10.6328125" style="7" bestFit="1" customWidth="1"/>
    <col min="2" max="2" width="14.90625" style="7" bestFit="1" customWidth="1"/>
    <col min="3" max="3" width="10.453125" style="7" bestFit="1" customWidth="1"/>
    <col min="4" max="4" width="62" style="7" bestFit="1" customWidth="1"/>
    <col min="5" max="5" width="7.1796875" style="7" bestFit="1" customWidth="1"/>
    <col min="6" max="6" width="10.81640625" style="7" bestFit="1" customWidth="1"/>
    <col min="7" max="7" width="13.36328125" style="34" bestFit="1" customWidth="1"/>
    <col min="8" max="8" width="9.7265625" style="7" bestFit="1" customWidth="1"/>
    <col min="9" max="9" width="14.81640625" style="7" bestFit="1" customWidth="1"/>
    <col min="10" max="10" width="7.453125" style="7" bestFit="1" customWidth="1"/>
    <col min="11" max="11" width="10.6328125" style="7" bestFit="1" customWidth="1"/>
    <col min="12" max="13" width="12.453125" style="7" bestFit="1" customWidth="1"/>
    <col min="14" max="16384" width="10.36328125" style="7"/>
  </cols>
  <sheetData>
    <row r="1" spans="1:13" s="15" customFormat="1">
      <c r="A1" s="15" t="s">
        <v>6</v>
      </c>
      <c r="B1" s="15" t="s">
        <v>11</v>
      </c>
      <c r="C1" s="15" t="s">
        <v>13</v>
      </c>
      <c r="D1" s="15" t="s">
        <v>103</v>
      </c>
      <c r="E1" s="7" t="s">
        <v>47</v>
      </c>
      <c r="F1" s="15" t="s">
        <v>7</v>
      </c>
      <c r="G1" s="35" t="s">
        <v>9</v>
      </c>
      <c r="H1" s="16" t="s">
        <v>8</v>
      </c>
      <c r="I1" s="17" t="s">
        <v>10</v>
      </c>
      <c r="J1" s="17" t="s">
        <v>66</v>
      </c>
      <c r="K1" s="17" t="s">
        <v>35</v>
      </c>
      <c r="L1" s="16" t="s">
        <v>14</v>
      </c>
      <c r="M1" s="22"/>
    </row>
    <row r="2" spans="1:13" ht="15" customHeight="1">
      <c r="A2" s="19">
        <v>46025</v>
      </c>
      <c r="B2" s="7" t="s">
        <v>80</v>
      </c>
      <c r="C2" s="7" t="s">
        <v>83</v>
      </c>
      <c r="D2" s="7" t="s">
        <v>79</v>
      </c>
      <c r="E2" s="7" t="s">
        <v>48</v>
      </c>
      <c r="F2" s="7">
        <v>40</v>
      </c>
      <c r="G2" s="31">
        <v>0.76200000000000001</v>
      </c>
      <c r="H2" s="6">
        <f>CHRISTODOULIDES[[#This Row],[Quantity]]*CHRISTODOULIDES[[#This Row],[Unit Price]]</f>
        <v>30.48</v>
      </c>
      <c r="I2" s="8">
        <v>0.1</v>
      </c>
      <c r="J2" s="8"/>
      <c r="K2" s="8">
        <v>0.13</v>
      </c>
      <c r="L2" s="9">
        <f>(CHRISTODOULIDES[[#This Row],[Total]] * (1 - CHRISTODOULIDES[[#This Row],[Discount (%)]]) + CHRISTODOULIDES[[#This Row],[ΕΦΚ]]) * (1 + CHRISTODOULIDES[[#This Row],[TAX (%)]])</f>
        <v>30.998159999999999</v>
      </c>
      <c r="M2" s="6"/>
    </row>
    <row r="3" spans="1:13" ht="15" customHeight="1">
      <c r="A3" s="19">
        <v>46049</v>
      </c>
      <c r="B3" s="7" t="s">
        <v>81</v>
      </c>
      <c r="C3" s="7" t="s">
        <v>83</v>
      </c>
      <c r="D3" s="7" t="s">
        <v>82</v>
      </c>
      <c r="E3" s="7" t="s">
        <v>48</v>
      </c>
      <c r="F3" s="7">
        <v>180</v>
      </c>
      <c r="G3" s="31">
        <v>0.67700000000000005</v>
      </c>
      <c r="H3" s="6">
        <f>CHRISTODOULIDES[[#This Row],[Quantity]]*CHRISTODOULIDES[[#This Row],[Unit Price]]</f>
        <v>121.86000000000001</v>
      </c>
      <c r="I3" s="8">
        <v>0.3</v>
      </c>
      <c r="J3" s="8"/>
      <c r="K3" s="8">
        <v>0.13</v>
      </c>
      <c r="L3" s="9">
        <f>(CHRISTODOULIDES[[#This Row],[Total]] * (1 - CHRISTODOULIDES[[#This Row],[Discount (%)]]) + CHRISTODOULIDES[[#This Row],[ΕΦΚ]]) * (1 + CHRISTODOULIDES[[#This Row],[TAX (%)]])</f>
        <v>96.391260000000003</v>
      </c>
      <c r="M3" s="6"/>
    </row>
    <row r="4" spans="1:13">
      <c r="A4" s="19">
        <v>46059</v>
      </c>
      <c r="B4" s="7" t="s">
        <v>84</v>
      </c>
      <c r="C4" s="7" t="s">
        <v>83</v>
      </c>
      <c r="D4" s="7" t="s">
        <v>85</v>
      </c>
      <c r="E4" s="7" t="s">
        <v>48</v>
      </c>
      <c r="F4" s="7">
        <v>60</v>
      </c>
      <c r="G4" s="31">
        <v>1.3</v>
      </c>
      <c r="H4" s="6">
        <f>CHRISTODOULIDES[[#This Row],[Quantity]]*CHRISTODOULIDES[[#This Row],[Unit Price]]</f>
        <v>78</v>
      </c>
      <c r="I4" s="8">
        <v>0.15</v>
      </c>
      <c r="J4" s="8"/>
      <c r="K4" s="8">
        <v>0.13</v>
      </c>
      <c r="L4" s="6">
        <f>(CHRISTODOULIDES[[#This Row],[Total]] * (1 - CHRISTODOULIDES[[#This Row],[Discount (%)]]) + CHRISTODOULIDES[[#This Row],[ΕΦΚ]]) * (1 + CHRISTODOULIDES[[#This Row],[TAX (%)]])</f>
        <v>74.918999999999983</v>
      </c>
    </row>
    <row r="5" spans="1:13">
      <c r="A5" s="19">
        <v>46059</v>
      </c>
      <c r="B5" s="20" t="s">
        <v>84</v>
      </c>
      <c r="C5" s="7" t="s">
        <v>83</v>
      </c>
      <c r="D5" s="7" t="s">
        <v>79</v>
      </c>
      <c r="E5" s="7" t="s">
        <v>48</v>
      </c>
      <c r="F5" s="7">
        <v>40</v>
      </c>
      <c r="G5" s="31">
        <v>0.76200000000000001</v>
      </c>
      <c r="H5" s="6">
        <f>CHRISTODOULIDES[[#This Row],[Quantity]]*CHRISTODOULIDES[[#This Row],[Unit Price]]</f>
        <v>30.48</v>
      </c>
      <c r="I5" s="8">
        <v>0.1</v>
      </c>
      <c r="J5" s="8"/>
      <c r="K5" s="8">
        <v>0.13</v>
      </c>
      <c r="L5" s="6">
        <f>(CHRISTODOULIDES[[#This Row],[Total]] * (1 - CHRISTODOULIDES[[#This Row],[Discount (%)]]) + CHRISTODOULIDES[[#This Row],[ΕΦΚ]]) * (1 + CHRISTODOULIDES[[#This Row],[TAX (%)]])</f>
        <v>30.998159999999999</v>
      </c>
    </row>
    <row r="6" spans="1:13">
      <c r="A6" s="19">
        <v>46059</v>
      </c>
      <c r="B6" s="20" t="s">
        <v>84</v>
      </c>
      <c r="C6" s="7" t="s">
        <v>83</v>
      </c>
      <c r="D6" s="7" t="s">
        <v>82</v>
      </c>
      <c r="E6" s="7" t="s">
        <v>48</v>
      </c>
      <c r="F6" s="7">
        <v>180</v>
      </c>
      <c r="G6" s="31">
        <v>0.67700000000000005</v>
      </c>
      <c r="H6" s="6">
        <f>CHRISTODOULIDES[[#This Row],[Quantity]]*CHRISTODOULIDES[[#This Row],[Unit Price]]</f>
        <v>121.86000000000001</v>
      </c>
      <c r="I6" s="8">
        <v>0.3</v>
      </c>
      <c r="J6" s="8"/>
      <c r="K6" s="8">
        <v>0.13</v>
      </c>
      <c r="L6" s="6">
        <f>(CHRISTODOULIDES[[#This Row],[Total]] * (1 - CHRISTODOULIDES[[#This Row],[Discount (%)]]) + CHRISTODOULIDES[[#This Row],[ΕΦΚ]]) * (1 + CHRISTODOULIDES[[#This Row],[TAX (%)]])</f>
        <v>96.391260000000003</v>
      </c>
    </row>
    <row r="7" spans="1:13">
      <c r="A7" s="19">
        <v>46066</v>
      </c>
      <c r="B7" s="20" t="s">
        <v>86</v>
      </c>
      <c r="C7" s="7" t="s">
        <v>83</v>
      </c>
      <c r="D7" s="7" t="s">
        <v>87</v>
      </c>
      <c r="E7" s="7" t="s">
        <v>48</v>
      </c>
      <c r="F7" s="7">
        <v>105</v>
      </c>
      <c r="G7" s="31">
        <v>0.48</v>
      </c>
      <c r="H7" s="6">
        <f>CHRISTODOULIDES[[#This Row],[Quantity]]*CHRISTODOULIDES[[#This Row],[Unit Price]]</f>
        <v>50.4</v>
      </c>
      <c r="I7" s="8"/>
      <c r="J7" s="8"/>
      <c r="K7" s="8">
        <v>0.13</v>
      </c>
      <c r="L7" s="6">
        <f>(CHRISTODOULIDES[[#This Row],[Total]] * (1 - CHRISTODOULIDES[[#This Row],[Discount (%)]]) + CHRISTODOULIDES[[#This Row],[ΕΦΚ]]) * (1 + CHRISTODOULIDES[[#This Row],[TAX (%)]])</f>
        <v>56.951999999999991</v>
      </c>
    </row>
    <row r="8" spans="1:13">
      <c r="A8" s="19">
        <v>46066</v>
      </c>
      <c r="B8" s="20" t="s">
        <v>86</v>
      </c>
      <c r="C8" s="7" t="s">
        <v>83</v>
      </c>
      <c r="D8" s="7" t="s">
        <v>85</v>
      </c>
      <c r="E8" s="7" t="s">
        <v>48</v>
      </c>
      <c r="F8" s="7">
        <v>60</v>
      </c>
      <c r="G8" s="31">
        <v>1.3</v>
      </c>
      <c r="H8" s="6">
        <f>CHRISTODOULIDES[[#This Row],[Quantity]]*CHRISTODOULIDES[[#This Row],[Unit Price]]</f>
        <v>78</v>
      </c>
      <c r="I8" s="8">
        <v>0.15</v>
      </c>
      <c r="J8" s="8"/>
      <c r="K8" s="8">
        <v>0.13</v>
      </c>
      <c r="L8" s="6">
        <f>(CHRISTODOULIDES[[#This Row],[Total]] * (1 - CHRISTODOULIDES[[#This Row],[Discount (%)]]) + CHRISTODOULIDES[[#This Row],[ΕΦΚ]]) * (1 + CHRISTODOULIDES[[#This Row],[TAX (%)]])</f>
        <v>74.918999999999983</v>
      </c>
    </row>
    <row r="9" spans="1:13">
      <c r="A9" s="19">
        <v>46077</v>
      </c>
      <c r="B9" s="20" t="s">
        <v>88</v>
      </c>
      <c r="C9" s="7" t="s">
        <v>83</v>
      </c>
      <c r="D9" s="7" t="s">
        <v>89</v>
      </c>
      <c r="E9" s="7" t="s">
        <v>48</v>
      </c>
      <c r="F9" s="7">
        <v>3</v>
      </c>
      <c r="G9" s="31">
        <v>2.65</v>
      </c>
      <c r="H9" s="6">
        <f>CHRISTODOULIDES[[#This Row],[Quantity]]*CHRISTODOULIDES[[#This Row],[Unit Price]]</f>
        <v>7.9499999999999993</v>
      </c>
      <c r="I9" s="8"/>
      <c r="J9" s="8"/>
      <c r="K9" s="8">
        <v>0.13</v>
      </c>
      <c r="L9" s="6">
        <f>(CHRISTODOULIDES[[#This Row],[Total]] * (1 - CHRISTODOULIDES[[#This Row],[Discount (%)]]) + CHRISTODOULIDES[[#This Row],[ΕΦΚ]]) * (1 + CHRISTODOULIDES[[#This Row],[TAX (%)]])</f>
        <v>8.9834999999999976</v>
      </c>
    </row>
    <row r="10" spans="1:13">
      <c r="A10" s="19">
        <v>46077</v>
      </c>
      <c r="B10" s="20" t="s">
        <v>88</v>
      </c>
      <c r="C10" s="7" t="s">
        <v>83</v>
      </c>
      <c r="D10" s="7" t="s">
        <v>85</v>
      </c>
      <c r="E10" s="7" t="s">
        <v>48</v>
      </c>
      <c r="F10" s="7">
        <v>60</v>
      </c>
      <c r="G10" s="31">
        <v>1.3</v>
      </c>
      <c r="H10" s="6">
        <f>CHRISTODOULIDES[[#This Row],[Quantity]]*CHRISTODOULIDES[[#This Row],[Unit Price]]</f>
        <v>78</v>
      </c>
      <c r="I10" s="8">
        <v>0.15</v>
      </c>
      <c r="J10" s="8"/>
      <c r="K10" s="8">
        <v>0.13</v>
      </c>
      <c r="L10" s="6">
        <f>(CHRISTODOULIDES[[#This Row],[Total]] * (1 - CHRISTODOULIDES[[#This Row],[Discount (%)]]) + CHRISTODOULIDES[[#This Row],[ΕΦΚ]]) * (1 + CHRISTODOULIDES[[#This Row],[TAX (%)]])</f>
        <v>74.918999999999983</v>
      </c>
    </row>
    <row r="11" spans="1:13">
      <c r="A11" s="19">
        <v>46095</v>
      </c>
      <c r="B11" s="20" t="s">
        <v>90</v>
      </c>
      <c r="C11" s="7" t="s">
        <v>83</v>
      </c>
      <c r="D11" s="7" t="s">
        <v>87</v>
      </c>
      <c r="E11" s="7" t="s">
        <v>48</v>
      </c>
      <c r="F11" s="7">
        <v>105</v>
      </c>
      <c r="G11" s="31">
        <v>0.48</v>
      </c>
      <c r="H11" s="6">
        <f>CHRISTODOULIDES[[#This Row],[Quantity]]*CHRISTODOULIDES[[#This Row],[Unit Price]]</f>
        <v>50.4</v>
      </c>
      <c r="I11" s="8"/>
      <c r="J11" s="8"/>
      <c r="K11" s="8">
        <v>0.13</v>
      </c>
      <c r="L11" s="6">
        <f>(CHRISTODOULIDES[[#This Row],[Total]] * (1 - CHRISTODOULIDES[[#This Row],[Discount (%)]]) + CHRISTODOULIDES[[#This Row],[ΕΦΚ]]) * (1 + CHRISTODOULIDES[[#This Row],[TAX (%)]])</f>
        <v>56.951999999999991</v>
      </c>
    </row>
    <row r="12" spans="1:13">
      <c r="A12" s="19">
        <v>46097</v>
      </c>
      <c r="B12" s="20" t="s">
        <v>91</v>
      </c>
      <c r="C12" s="7" t="s">
        <v>95</v>
      </c>
      <c r="D12" s="7" t="s">
        <v>92</v>
      </c>
      <c r="E12" s="7" t="s">
        <v>48</v>
      </c>
      <c r="F12" s="7">
        <v>10</v>
      </c>
      <c r="G12" s="31">
        <v>0.99</v>
      </c>
      <c r="H12" s="6">
        <f>CHRISTODOULIDES[[#This Row],[Quantity]]*CHRISTODOULIDES[[#This Row],[Unit Price]]</f>
        <v>9.9</v>
      </c>
      <c r="I12" s="8">
        <v>0.2</v>
      </c>
      <c r="J12" s="8"/>
      <c r="K12" s="8">
        <v>0.13</v>
      </c>
      <c r="L12" s="6">
        <f>(CHRISTODOULIDES[[#This Row],[Total]] * (1 - CHRISTODOULIDES[[#This Row],[Discount (%)]]) + CHRISTODOULIDES[[#This Row],[ΕΦΚ]]) * (1 + CHRISTODOULIDES[[#This Row],[TAX (%)]])</f>
        <v>8.9496000000000002</v>
      </c>
    </row>
    <row r="13" spans="1:13">
      <c r="A13" s="19">
        <v>46097</v>
      </c>
      <c r="B13" s="20" t="s">
        <v>91</v>
      </c>
      <c r="C13" s="7" t="s">
        <v>83</v>
      </c>
      <c r="D13" s="7" t="s">
        <v>85</v>
      </c>
      <c r="E13" s="7" t="s">
        <v>48</v>
      </c>
      <c r="F13" s="7">
        <v>60</v>
      </c>
      <c r="G13" s="31">
        <v>1.3</v>
      </c>
      <c r="H13" s="6">
        <f>CHRISTODOULIDES[[#This Row],[Quantity]]*CHRISTODOULIDES[[#This Row],[Unit Price]]</f>
        <v>78</v>
      </c>
      <c r="I13" s="8">
        <v>0.15</v>
      </c>
      <c r="J13" s="8"/>
      <c r="K13" s="8">
        <v>0.13</v>
      </c>
      <c r="L13" s="6">
        <f>(CHRISTODOULIDES[[#This Row],[Total]] * (1 - CHRISTODOULIDES[[#This Row],[Discount (%)]]) + CHRISTODOULIDES[[#This Row],[ΕΦΚ]]) * (1 + CHRISTODOULIDES[[#This Row],[TAX (%)]])</f>
        <v>74.918999999999983</v>
      </c>
    </row>
    <row r="14" spans="1:13">
      <c r="A14" s="19">
        <v>46101</v>
      </c>
      <c r="B14" s="20" t="s">
        <v>93</v>
      </c>
      <c r="C14" s="7" t="s">
        <v>83</v>
      </c>
      <c r="D14" s="7" t="s">
        <v>79</v>
      </c>
      <c r="E14" s="7" t="s">
        <v>48</v>
      </c>
      <c r="F14" s="7">
        <v>40</v>
      </c>
      <c r="G14" s="31">
        <v>0.76200000000000001</v>
      </c>
      <c r="H14" s="6">
        <f>CHRISTODOULIDES[[#This Row],[Quantity]]*CHRISTODOULIDES[[#This Row],[Unit Price]]</f>
        <v>30.48</v>
      </c>
      <c r="I14" s="8">
        <v>0.1</v>
      </c>
      <c r="J14" s="8"/>
      <c r="K14" s="8">
        <v>0.13</v>
      </c>
      <c r="L14" s="6">
        <f>(CHRISTODOULIDES[[#This Row],[Total]] * (1 - CHRISTODOULIDES[[#This Row],[Discount (%)]]) + CHRISTODOULIDES[[#This Row],[ΕΦΚ]]) * (1 + CHRISTODOULIDES[[#This Row],[TAX (%)]])</f>
        <v>30.998159999999999</v>
      </c>
    </row>
    <row r="15" spans="1:13">
      <c r="A15" s="19">
        <v>46101</v>
      </c>
      <c r="B15" s="20" t="s">
        <v>93</v>
      </c>
      <c r="C15" s="7" t="s">
        <v>83</v>
      </c>
      <c r="D15" s="7" t="s">
        <v>87</v>
      </c>
      <c r="E15" s="7" t="s">
        <v>48</v>
      </c>
      <c r="F15" s="7">
        <v>105</v>
      </c>
      <c r="G15" s="31">
        <v>0.48</v>
      </c>
      <c r="H15" s="6">
        <f>CHRISTODOULIDES[[#This Row],[Quantity]]*CHRISTODOULIDES[[#This Row],[Unit Price]]</f>
        <v>50.4</v>
      </c>
      <c r="I15" s="8"/>
      <c r="J15" s="8"/>
      <c r="K15" s="8">
        <v>0.13</v>
      </c>
      <c r="L15" s="6">
        <f>(CHRISTODOULIDES[[#This Row],[Total]] * (1 - CHRISTODOULIDES[[#This Row],[Discount (%)]]) + CHRISTODOULIDES[[#This Row],[ΕΦΚ]]) * (1 + CHRISTODOULIDES[[#This Row],[TAX (%)]])</f>
        <v>56.951999999999991</v>
      </c>
    </row>
    <row r="16" spans="1:13">
      <c r="A16" s="19">
        <v>46101</v>
      </c>
      <c r="B16" s="20" t="s">
        <v>93</v>
      </c>
      <c r="C16" s="7" t="s">
        <v>83</v>
      </c>
      <c r="D16" s="7" t="s">
        <v>85</v>
      </c>
      <c r="E16" s="7" t="s">
        <v>48</v>
      </c>
      <c r="F16" s="7">
        <v>60</v>
      </c>
      <c r="G16" s="31">
        <v>1.3</v>
      </c>
      <c r="H16" s="6">
        <f>CHRISTODOULIDES[[#This Row],[Quantity]]*CHRISTODOULIDES[[#This Row],[Unit Price]]</f>
        <v>78</v>
      </c>
      <c r="I16" s="8">
        <v>0.15</v>
      </c>
      <c r="J16" s="8"/>
      <c r="K16" s="8">
        <v>0.13</v>
      </c>
      <c r="L16" s="6">
        <f>(CHRISTODOULIDES[[#This Row],[Total]] * (1 - CHRISTODOULIDES[[#This Row],[Discount (%)]]) + CHRISTODOULIDES[[#This Row],[ΕΦΚ]]) * (1 + CHRISTODOULIDES[[#This Row],[TAX (%)]])</f>
        <v>74.918999999999983</v>
      </c>
    </row>
    <row r="17" spans="1:12">
      <c r="A17" s="19">
        <v>46109</v>
      </c>
      <c r="B17" s="20" t="s">
        <v>94</v>
      </c>
      <c r="C17" s="7" t="s">
        <v>83</v>
      </c>
      <c r="D17" s="7" t="s">
        <v>96</v>
      </c>
      <c r="E17" s="7" t="s">
        <v>48</v>
      </c>
      <c r="F17" s="7">
        <v>40</v>
      </c>
      <c r="G17" s="31">
        <v>0.45</v>
      </c>
      <c r="H17" s="6">
        <f>CHRISTODOULIDES[[#This Row],[Quantity]]*CHRISTODOULIDES[[#This Row],[Unit Price]]</f>
        <v>18</v>
      </c>
      <c r="I17" s="8"/>
      <c r="J17" s="8"/>
      <c r="K17" s="8">
        <v>0.13</v>
      </c>
      <c r="L17" s="6">
        <f>(CHRISTODOULIDES[[#This Row],[Total]] * (1 - CHRISTODOULIDES[[#This Row],[Discount (%)]]) + CHRISTODOULIDES[[#This Row],[ΕΦΚ]]) * (1 + CHRISTODOULIDES[[#This Row],[TAX (%)]])</f>
        <v>20.339999999999996</v>
      </c>
    </row>
    <row r="18" spans="1:12">
      <c r="A18" s="19">
        <v>46109</v>
      </c>
      <c r="B18" s="20" t="s">
        <v>94</v>
      </c>
      <c r="C18" s="7" t="s">
        <v>83</v>
      </c>
      <c r="D18" s="7" t="s">
        <v>85</v>
      </c>
      <c r="E18" s="7" t="s">
        <v>48</v>
      </c>
      <c r="F18" s="7">
        <v>60</v>
      </c>
      <c r="G18" s="31">
        <v>1.3</v>
      </c>
      <c r="H18" s="6">
        <f>CHRISTODOULIDES[[#This Row],[Quantity]]*CHRISTODOULIDES[[#This Row],[Unit Price]]</f>
        <v>78</v>
      </c>
      <c r="I18" s="8">
        <v>0.15</v>
      </c>
      <c r="J18" s="8"/>
      <c r="K18" s="8">
        <v>0.13</v>
      </c>
      <c r="L18" s="6">
        <f>(CHRISTODOULIDES[[#This Row],[Total]] * (1 - CHRISTODOULIDES[[#This Row],[Discount (%)]]) + CHRISTODOULIDES[[#This Row],[ΕΦΚ]]) * (1 + CHRISTODOULIDES[[#This Row],[TAX (%)]])</f>
        <v>74.918999999999983</v>
      </c>
    </row>
    <row r="19" spans="1:12">
      <c r="A19" s="19">
        <v>46109</v>
      </c>
      <c r="B19" s="20" t="s">
        <v>94</v>
      </c>
      <c r="C19" s="7" t="s">
        <v>83</v>
      </c>
      <c r="D19" s="7" t="s">
        <v>89</v>
      </c>
      <c r="E19" s="7" t="s">
        <v>48</v>
      </c>
      <c r="F19" s="7">
        <v>2</v>
      </c>
      <c r="G19" s="31">
        <v>2.65</v>
      </c>
      <c r="H19" s="6">
        <f>CHRISTODOULIDES[[#This Row],[Quantity]]*CHRISTODOULIDES[[#This Row],[Unit Price]]</f>
        <v>5.3</v>
      </c>
      <c r="I19" s="8"/>
      <c r="J19" s="8"/>
      <c r="K19" s="8">
        <v>0.13</v>
      </c>
      <c r="L19" s="6">
        <f>(CHRISTODOULIDES[[#This Row],[Total]] * (1 - CHRISTODOULIDES[[#This Row],[Discount (%)]]) + CHRISTODOULIDES[[#This Row],[ΕΦΚ]]) * (1 + CHRISTODOULIDES[[#This Row],[TAX (%)]])</f>
        <v>5.988999999999999</v>
      </c>
    </row>
    <row r="20" spans="1:12">
      <c r="A20" s="19">
        <v>46109</v>
      </c>
      <c r="B20" s="20" t="s">
        <v>94</v>
      </c>
      <c r="C20" s="7" t="s">
        <v>83</v>
      </c>
      <c r="D20" s="7" t="s">
        <v>87</v>
      </c>
      <c r="E20" s="7" t="s">
        <v>48</v>
      </c>
      <c r="F20" s="7">
        <v>105</v>
      </c>
      <c r="G20" s="31">
        <v>0.48</v>
      </c>
      <c r="H20" s="6">
        <f>CHRISTODOULIDES[[#This Row],[Quantity]]*CHRISTODOULIDES[[#This Row],[Unit Price]]</f>
        <v>50.4</v>
      </c>
      <c r="I20" s="8"/>
      <c r="J20" s="8"/>
      <c r="K20" s="8">
        <v>0.13</v>
      </c>
      <c r="L20" s="6">
        <f>(CHRISTODOULIDES[[#This Row],[Total]] * (1 - CHRISTODOULIDES[[#This Row],[Discount (%)]]) + CHRISTODOULIDES[[#This Row],[ΕΦΚ]]) * (1 + CHRISTODOULIDES[[#This Row],[TAX (%)]])</f>
        <v>56.951999999999991</v>
      </c>
    </row>
    <row r="21" spans="1:12">
      <c r="A21" s="19">
        <v>46112</v>
      </c>
      <c r="B21" s="20" t="s">
        <v>97</v>
      </c>
      <c r="C21" s="7" t="s">
        <v>83</v>
      </c>
      <c r="D21" s="7" t="s">
        <v>98</v>
      </c>
      <c r="E21" s="7" t="s">
        <v>48</v>
      </c>
      <c r="F21" s="7">
        <v>45</v>
      </c>
      <c r="G21" s="31">
        <v>0.56999999999999995</v>
      </c>
      <c r="H21" s="6">
        <f>CHRISTODOULIDES[[#This Row],[Quantity]]*CHRISTODOULIDES[[#This Row],[Unit Price]]</f>
        <v>25.65</v>
      </c>
      <c r="I21" s="8">
        <v>0.2</v>
      </c>
      <c r="J21" s="8"/>
      <c r="K21" s="8">
        <v>0.13</v>
      </c>
      <c r="L21" s="6">
        <f>(CHRISTODOULIDES[[#This Row],[Total]] * (1 - CHRISTODOULIDES[[#This Row],[Discount (%)]]) + CHRISTODOULIDES[[#This Row],[ΕΦΚ]]) * (1 + CHRISTODOULIDES[[#This Row],[TAX (%)]])</f>
        <v>23.187599999999996</v>
      </c>
    </row>
    <row r="22" spans="1:12">
      <c r="A22" s="19">
        <v>46112</v>
      </c>
      <c r="B22" s="20" t="s">
        <v>97</v>
      </c>
      <c r="C22" s="7" t="s">
        <v>83</v>
      </c>
      <c r="D22" s="7" t="s">
        <v>99</v>
      </c>
      <c r="E22" s="7" t="s">
        <v>48</v>
      </c>
      <c r="F22" s="7">
        <v>60</v>
      </c>
      <c r="G22" s="31">
        <v>0.56999999999999995</v>
      </c>
      <c r="H22" s="6">
        <f>CHRISTODOULIDES[[#This Row],[Quantity]]*CHRISTODOULIDES[[#This Row],[Unit Price]]</f>
        <v>34.199999999999996</v>
      </c>
      <c r="I22" s="8">
        <v>0.2</v>
      </c>
      <c r="J22" s="8"/>
      <c r="K22" s="8">
        <v>0.13</v>
      </c>
      <c r="L22" s="6">
        <f>(CHRISTODOULIDES[[#This Row],[Total]] * (1 - CHRISTODOULIDES[[#This Row],[Discount (%)]]) + CHRISTODOULIDES[[#This Row],[ΕΦΚ]]) * (1 + CHRISTODOULIDES[[#This Row],[TAX (%)]])</f>
        <v>30.916799999999995</v>
      </c>
    </row>
    <row r="23" spans="1:12">
      <c r="A23" s="19">
        <v>46114</v>
      </c>
      <c r="B23" s="20" t="s">
        <v>100</v>
      </c>
      <c r="C23" s="7" t="s">
        <v>83</v>
      </c>
      <c r="D23" s="7" t="s">
        <v>87</v>
      </c>
      <c r="E23" s="7" t="s">
        <v>48</v>
      </c>
      <c r="F23" s="7">
        <v>105</v>
      </c>
      <c r="G23" s="31">
        <v>0.48</v>
      </c>
      <c r="H23" s="6">
        <f>CHRISTODOULIDES[[#This Row],[Quantity]]*CHRISTODOULIDES[[#This Row],[Unit Price]]</f>
        <v>50.4</v>
      </c>
      <c r="I23" s="8"/>
      <c r="J23" s="8"/>
      <c r="K23" s="8">
        <v>0.13</v>
      </c>
      <c r="L23" s="6">
        <f>(CHRISTODOULIDES[[#This Row],[Total]] * (1 - CHRISTODOULIDES[[#This Row],[Discount (%)]]) + CHRISTODOULIDES[[#This Row],[ΕΦΚ]]) * (1 + CHRISTODOULIDES[[#This Row],[TAX (%)]])</f>
        <v>56.951999999999991</v>
      </c>
    </row>
    <row r="24" spans="1:12">
      <c r="A24" s="19">
        <v>46114</v>
      </c>
      <c r="B24" s="20" t="s">
        <v>100</v>
      </c>
      <c r="C24" s="7" t="s">
        <v>83</v>
      </c>
      <c r="D24" s="7" t="s">
        <v>85</v>
      </c>
      <c r="E24" s="7" t="s">
        <v>48</v>
      </c>
      <c r="F24" s="7">
        <v>60</v>
      </c>
      <c r="G24" s="31">
        <v>1.3</v>
      </c>
      <c r="H24" s="6">
        <f>CHRISTODOULIDES[[#This Row],[Quantity]]*CHRISTODOULIDES[[#This Row],[Unit Price]]</f>
        <v>78</v>
      </c>
      <c r="I24" s="8">
        <v>0.15</v>
      </c>
      <c r="J24" s="8"/>
      <c r="K24" s="8">
        <v>0.13</v>
      </c>
      <c r="L24" s="6">
        <f>(CHRISTODOULIDES[[#This Row],[Total]] * (1 - CHRISTODOULIDES[[#This Row],[Discount (%)]]) + CHRISTODOULIDES[[#This Row],[ΕΦΚ]]) * (1 + CHRISTODOULIDES[[#This Row],[TAX (%)]])</f>
        <v>74.918999999999983</v>
      </c>
    </row>
    <row r="25" spans="1:12">
      <c r="A25" s="19">
        <v>46114</v>
      </c>
      <c r="B25" s="20" t="s">
        <v>100</v>
      </c>
      <c r="C25" s="7" t="s">
        <v>83</v>
      </c>
      <c r="D25" s="7" t="s">
        <v>96</v>
      </c>
      <c r="E25" s="7" t="s">
        <v>48</v>
      </c>
      <c r="F25" s="7">
        <v>40</v>
      </c>
      <c r="G25" s="31">
        <v>0.45</v>
      </c>
      <c r="H25" s="6">
        <f>CHRISTODOULIDES[[#This Row],[Quantity]]*CHRISTODOULIDES[[#This Row],[Unit Price]]</f>
        <v>18</v>
      </c>
      <c r="I25" s="8"/>
      <c r="J25" s="8"/>
      <c r="K25" s="8">
        <v>0.13</v>
      </c>
      <c r="L25" s="6">
        <f>(CHRISTODOULIDES[[#This Row],[Total]] * (1 - CHRISTODOULIDES[[#This Row],[Discount (%)]]) + CHRISTODOULIDES[[#This Row],[ΕΦΚ]]) * (1 + CHRISTODOULIDES[[#This Row],[TAX (%)]])</f>
        <v>20.339999999999996</v>
      </c>
    </row>
    <row r="26" spans="1:12">
      <c r="A26" s="19">
        <v>46114</v>
      </c>
      <c r="B26" s="20" t="s">
        <v>100</v>
      </c>
      <c r="C26" s="7" t="s">
        <v>83</v>
      </c>
      <c r="D26" s="7" t="s">
        <v>89</v>
      </c>
      <c r="E26" s="7" t="s">
        <v>48</v>
      </c>
      <c r="F26" s="7">
        <v>2</v>
      </c>
      <c r="G26" s="31">
        <v>2.65</v>
      </c>
      <c r="H26" s="6">
        <f>CHRISTODOULIDES[[#This Row],[Quantity]]*CHRISTODOULIDES[[#This Row],[Unit Price]]</f>
        <v>5.3</v>
      </c>
      <c r="I26" s="8"/>
      <c r="J26" s="8"/>
      <c r="K26" s="8">
        <v>0.13</v>
      </c>
      <c r="L26" s="6">
        <f>(CHRISTODOULIDES[[#This Row],[Total]] * (1 - CHRISTODOULIDES[[#This Row],[Discount (%)]]) + CHRISTODOULIDES[[#This Row],[ΕΦΚ]]) * (1 + CHRISTODOULIDES[[#This Row],[TAX (%)]])</f>
        <v>5.988999999999999</v>
      </c>
    </row>
    <row r="27" spans="1:12">
      <c r="A27" s="19">
        <v>46118</v>
      </c>
      <c r="B27" s="20" t="s">
        <v>101</v>
      </c>
      <c r="C27" s="7" t="s">
        <v>83</v>
      </c>
      <c r="D27" s="7" t="s">
        <v>87</v>
      </c>
      <c r="E27" s="7" t="s">
        <v>48</v>
      </c>
      <c r="F27" s="7">
        <v>105</v>
      </c>
      <c r="G27" s="31">
        <v>0.48</v>
      </c>
      <c r="H27" s="6">
        <f>CHRISTODOULIDES[[#This Row],[Quantity]]*CHRISTODOULIDES[[#This Row],[Unit Price]]</f>
        <v>50.4</v>
      </c>
      <c r="I27" s="8">
        <v>0.35</v>
      </c>
      <c r="J27" s="8"/>
      <c r="K27" s="8">
        <v>0.13</v>
      </c>
      <c r="L27" s="6">
        <f>(CHRISTODOULIDES[[#This Row],[Total]] * (1 - CHRISTODOULIDES[[#This Row],[Discount (%)]]) + CHRISTODOULIDES[[#This Row],[ΕΦΚ]]) * (1 + CHRISTODOULIDES[[#This Row],[TAX (%)]])</f>
        <v>37.018799999999992</v>
      </c>
    </row>
    <row r="28" spans="1:12">
      <c r="A28" s="19">
        <v>46118</v>
      </c>
      <c r="B28" s="20" t="s">
        <v>101</v>
      </c>
      <c r="C28" s="7" t="s">
        <v>83</v>
      </c>
      <c r="D28" s="7" t="s">
        <v>85</v>
      </c>
      <c r="E28" s="7" t="s">
        <v>48</v>
      </c>
      <c r="F28" s="7">
        <v>60</v>
      </c>
      <c r="G28" s="31">
        <v>1.3</v>
      </c>
      <c r="H28" s="6">
        <f>CHRISTODOULIDES[[#This Row],[Quantity]]*CHRISTODOULIDES[[#This Row],[Unit Price]]</f>
        <v>78</v>
      </c>
      <c r="I28" s="8">
        <v>0.25</v>
      </c>
      <c r="J28" s="8"/>
      <c r="K28" s="8">
        <v>0.13</v>
      </c>
      <c r="L28" s="6">
        <f>(CHRISTODOULIDES[[#This Row],[Total]] * (1 - CHRISTODOULIDES[[#This Row],[Discount (%)]]) + CHRISTODOULIDES[[#This Row],[ΕΦΚ]]) * (1 + CHRISTODOULIDES[[#This Row],[TAX (%)]])</f>
        <v>66.10499999999999</v>
      </c>
    </row>
    <row r="29" spans="1:12">
      <c r="A29" s="19">
        <v>46118</v>
      </c>
      <c r="B29" s="20" t="s">
        <v>101</v>
      </c>
      <c r="C29" s="7" t="s">
        <v>83</v>
      </c>
      <c r="D29" s="7" t="s">
        <v>96</v>
      </c>
      <c r="E29" s="7" t="s">
        <v>48</v>
      </c>
      <c r="F29" s="7">
        <v>40</v>
      </c>
      <c r="G29" s="31">
        <v>0.45</v>
      </c>
      <c r="H29" s="6">
        <f>CHRISTODOULIDES[[#This Row],[Quantity]]*CHRISTODOULIDES[[#This Row],[Unit Price]]</f>
        <v>18</v>
      </c>
      <c r="I29" s="8">
        <v>0.12</v>
      </c>
      <c r="J29" s="8"/>
      <c r="K29" s="8">
        <v>0.13</v>
      </c>
      <c r="L29" s="6">
        <f>(CHRISTODOULIDES[[#This Row],[Total]] * (1 - CHRISTODOULIDES[[#This Row],[Discount (%)]]) + CHRISTODOULIDES[[#This Row],[ΕΦΚ]]) * (1 + CHRISTODOULIDES[[#This Row],[TAX (%)]])</f>
        <v>17.899199999999997</v>
      </c>
    </row>
    <row r="30" spans="1:12">
      <c r="A30" s="19">
        <v>46123</v>
      </c>
      <c r="B30" s="20" t="s">
        <v>102</v>
      </c>
      <c r="C30" s="7" t="s">
        <v>83</v>
      </c>
      <c r="D30" s="7" t="s">
        <v>85</v>
      </c>
      <c r="E30" s="7" t="s">
        <v>48</v>
      </c>
      <c r="F30" s="7">
        <v>180</v>
      </c>
      <c r="G30" s="31">
        <v>1.3</v>
      </c>
      <c r="H30" s="6">
        <f>CHRISTODOULIDES[[#This Row],[Quantity]]*CHRISTODOULIDES[[#This Row],[Unit Price]]</f>
        <v>234</v>
      </c>
      <c r="I30" s="8">
        <v>0.2462</v>
      </c>
      <c r="J30" s="8"/>
      <c r="K30" s="8">
        <v>0.13</v>
      </c>
      <c r="L30" s="6">
        <f>(CHRISTODOULIDES[[#This Row],[Total]] * (1 - CHRISTODOULIDES[[#This Row],[Discount (%)]]) + CHRISTODOULIDES[[#This Row],[ΕΦΚ]]) * (1 + CHRISTODOULIDES[[#This Row],[TAX (%)]])</f>
        <v>199.319796</v>
      </c>
    </row>
    <row r="31" spans="1:12">
      <c r="A31" s="19">
        <v>46123</v>
      </c>
      <c r="B31" s="20" t="s">
        <v>102</v>
      </c>
      <c r="C31" s="7" t="s">
        <v>83</v>
      </c>
      <c r="D31" s="7" t="s">
        <v>87</v>
      </c>
      <c r="E31" s="7" t="s">
        <v>48</v>
      </c>
      <c r="F31" s="7">
        <v>315</v>
      </c>
      <c r="G31" s="31">
        <v>0.48</v>
      </c>
      <c r="H31" s="6">
        <f>CHRISTODOULIDES[[#This Row],[Quantity]]*CHRISTODOULIDES[[#This Row],[Unit Price]]</f>
        <v>151.19999999999999</v>
      </c>
      <c r="I31" s="8">
        <v>0.35420000000000001</v>
      </c>
      <c r="J31" s="8"/>
      <c r="K31" s="8">
        <v>0.13</v>
      </c>
      <c r="L31" s="6">
        <f>(CHRISTODOULIDES[[#This Row],[Total]] * (1 - CHRISTODOULIDES[[#This Row],[Discount (%)]]) + CHRISTODOULIDES[[#This Row],[ΕΦΚ]]) * (1 + CHRISTODOULIDES[[#This Row],[TAX (%)]])</f>
        <v>110.33880479999998</v>
      </c>
    </row>
    <row r="32" spans="1:12">
      <c r="A32" s="19">
        <v>46123</v>
      </c>
      <c r="B32" s="20" t="s">
        <v>102</v>
      </c>
      <c r="C32" s="7" t="s">
        <v>83</v>
      </c>
      <c r="D32" s="7" t="s">
        <v>96</v>
      </c>
      <c r="E32" s="7" t="s">
        <v>48</v>
      </c>
      <c r="F32" s="7">
        <v>160</v>
      </c>
      <c r="G32" s="31">
        <v>0.45</v>
      </c>
      <c r="H32" s="6">
        <f>CHRISTODOULIDES[[#This Row],[Quantity]]*CHRISTODOULIDES[[#This Row],[Unit Price]]</f>
        <v>72</v>
      </c>
      <c r="I32" s="8">
        <v>0.1111</v>
      </c>
      <c r="J32" s="8"/>
      <c r="K32" s="8">
        <v>0.13</v>
      </c>
      <c r="L32" s="6">
        <f>(CHRISTODOULIDES[[#This Row],[Total]] * (1 - CHRISTODOULIDES[[#This Row],[Discount (%)]]) + CHRISTODOULIDES[[#This Row],[ΕΦΚ]]) * (1 + CHRISTODOULIDES[[#This Row],[TAX (%)]])</f>
        <v>72.320903999999985</v>
      </c>
    </row>
    <row r="33" spans="1:12">
      <c r="A33" s="19">
        <v>46123</v>
      </c>
      <c r="B33" s="20" t="s">
        <v>102</v>
      </c>
      <c r="C33" s="7" t="s">
        <v>83</v>
      </c>
      <c r="D33" s="7" t="s">
        <v>89</v>
      </c>
      <c r="E33" s="7" t="s">
        <v>48</v>
      </c>
      <c r="F33" s="7">
        <v>3</v>
      </c>
      <c r="G33" s="31">
        <v>2.65</v>
      </c>
      <c r="H33" s="6">
        <f>CHRISTODOULIDES[[#This Row],[Quantity]]*CHRISTODOULIDES[[#This Row],[Unit Price]]</f>
        <v>7.9499999999999993</v>
      </c>
      <c r="I33" s="8"/>
      <c r="J33" s="8"/>
      <c r="K33" s="8">
        <v>0.13</v>
      </c>
      <c r="L33" s="6">
        <f>(CHRISTODOULIDES[[#This Row],[Total]] * (1 - CHRISTODOULIDES[[#This Row],[Discount (%)]]) + CHRISTODOULIDES[[#This Row],[ΕΦΚ]]) * (1 + CHRISTODOULIDES[[#This Row],[TAX (%)]])</f>
        <v>8.9834999999999976</v>
      </c>
    </row>
  </sheetData>
  <dataValidations count="3">
    <dataValidation type="date" allowBlank="1" showInputMessage="1" showErrorMessage="1" sqref="A1:A33" xr:uid="{D065CA20-50F7-4C1F-B68C-9338441281D4}">
      <formula1>1</formula1>
      <formula2>401404</formula2>
    </dataValidation>
    <dataValidation type="list" showInputMessage="1" showErrorMessage="1" sqref="C1:C1048576" xr:uid="{FAF82744-548C-43C7-8E30-52C8BE878696}">
      <formula1>"COFFEE,BEVERAGE,WINE,BEER,FOOD,DAIRY,ALCOHOL,NON-FOOD"</formula1>
    </dataValidation>
    <dataValidation type="list" showInputMessage="1" showErrorMessage="1" sqref="E1:E1048576" xr:uid="{5173731D-B9BF-475D-956B-0CB63166A06F}">
      <formula1>"ΤΕΜ,ΚΙΒ,ΦΙΑ,ΚΙΛΑ,ΛΙΤΡΑ,ΠΑΚ,ΑΛΛΟ"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workbookViewId="0">
      <selection activeCell="E1" sqref="E1:E1048576"/>
    </sheetView>
  </sheetViews>
  <sheetFormatPr defaultRowHeight="14"/>
  <cols>
    <col min="1" max="1" width="10.6328125" style="25" bestFit="1" customWidth="1"/>
    <col min="2" max="2" width="14.90625" style="25" bestFit="1" customWidth="1"/>
    <col min="3" max="3" width="10.453125" style="25" bestFit="1" customWidth="1"/>
    <col min="4" max="4" width="16.90625" style="25" bestFit="1" customWidth="1"/>
    <col min="5" max="5" width="7.1796875" style="25" bestFit="1" customWidth="1"/>
    <col min="6" max="6" width="10.81640625" style="25" bestFit="1" customWidth="1"/>
    <col min="7" max="7" width="13.36328125" style="32" bestFit="1" customWidth="1"/>
    <col min="8" max="8" width="9.7265625" style="25" bestFit="1" customWidth="1"/>
    <col min="9" max="9" width="14.81640625" style="25" bestFit="1" customWidth="1"/>
    <col min="10" max="10" width="7.453125" style="25" bestFit="1" customWidth="1"/>
    <col min="11" max="11" width="10.6328125" style="25" bestFit="1" customWidth="1"/>
    <col min="12" max="12" width="11.1796875" style="25" bestFit="1" customWidth="1"/>
    <col min="13" max="16384" width="8.7265625" style="25"/>
  </cols>
  <sheetData>
    <row r="1" spans="1:12" s="15" customFormat="1">
      <c r="A1" s="15" t="s">
        <v>6</v>
      </c>
      <c r="B1" s="15" t="s">
        <v>11</v>
      </c>
      <c r="C1" s="15" t="s">
        <v>13</v>
      </c>
      <c r="D1" s="15" t="s">
        <v>103</v>
      </c>
      <c r="E1" s="25" t="s">
        <v>47</v>
      </c>
      <c r="F1" s="15" t="s">
        <v>7</v>
      </c>
      <c r="G1" s="35" t="s">
        <v>9</v>
      </c>
      <c r="H1" s="16" t="s">
        <v>8</v>
      </c>
      <c r="I1" s="17" t="s">
        <v>10</v>
      </c>
      <c r="J1" s="17" t="s">
        <v>66</v>
      </c>
      <c r="K1" s="17" t="s">
        <v>35</v>
      </c>
      <c r="L1" s="17" t="s">
        <v>14</v>
      </c>
    </row>
    <row r="2" spans="1:12" s="7" customFormat="1" ht="15" customHeight="1">
      <c r="A2" s="19">
        <v>46023</v>
      </c>
      <c r="G2" s="31"/>
      <c r="H2" s="6">
        <f>Table510133233[[#This Row],[Quantity]]*Table510133233[[#This Row],[Unit Price]]</f>
        <v>0</v>
      </c>
      <c r="I2" s="8"/>
      <c r="J2" s="8"/>
      <c r="K2" s="8"/>
      <c r="L2" s="9">
        <f>(Table510133233[[#This Row],[Total]] * (1 - Table510133233[[#This Row],[Discount (%)]]) + Table510133233[[#This Row],[ΕΦΚ]]) * (1 + Table510133233[[#This Row],[TAX (%)]])</f>
        <v>0</v>
      </c>
    </row>
    <row r="3" spans="1:12" s="7" customFormat="1" ht="15" customHeight="1">
      <c r="A3" s="19"/>
      <c r="G3" s="31"/>
      <c r="H3" s="6"/>
      <c r="I3" s="8"/>
      <c r="J3" s="8"/>
      <c r="K3" s="8"/>
      <c r="L3" s="9"/>
    </row>
    <row r="4" spans="1:12" s="7" customFormat="1" ht="15" customHeight="1">
      <c r="A4" s="19"/>
      <c r="G4" s="31"/>
      <c r="H4" s="6"/>
      <c r="I4" s="8"/>
      <c r="J4" s="8"/>
      <c r="K4" s="8"/>
      <c r="L4" s="6"/>
    </row>
    <row r="5" spans="1:12" s="13" customFormat="1" ht="15" customHeight="1">
      <c r="A5" s="19"/>
      <c r="B5" s="20"/>
      <c r="C5" s="7"/>
      <c r="D5" s="7"/>
      <c r="E5" s="7"/>
      <c r="F5" s="7"/>
      <c r="G5" s="31"/>
      <c r="H5" s="6"/>
      <c r="I5" s="8"/>
      <c r="J5" s="8"/>
      <c r="K5" s="8"/>
      <c r="L5" s="6"/>
    </row>
    <row r="6" spans="1:12" s="29" customFormat="1">
      <c r="A6" s="10"/>
      <c r="B6" s="13"/>
      <c r="C6" s="19"/>
      <c r="D6" s="10"/>
      <c r="E6" s="10"/>
      <c r="F6" s="11"/>
      <c r="G6" s="31"/>
      <c r="H6" s="21"/>
      <c r="I6" s="8"/>
      <c r="J6" s="8"/>
      <c r="K6" s="12"/>
    </row>
  </sheetData>
  <dataValidations count="3">
    <dataValidation type="date" allowBlank="1" showInputMessage="1" showErrorMessage="1" sqref="A1:A5" xr:uid="{1EACE471-6334-4F7D-B69E-E3D8867D0C4F}">
      <formula1>1</formula1>
      <formula2>401404</formula2>
    </dataValidation>
    <dataValidation type="list" showInputMessage="1" showErrorMessage="1" sqref="E1:E1048576" xr:uid="{3211EFEB-8E83-403B-9B0C-E5039F34EF71}">
      <formula1>"ΤΕΜ,ΚΙΒ,ΦΙΑ,ΚΙΛΑ,ΛΙΤΡΑ,ΠΑΚ,ΑΛΛΟ"</formula1>
    </dataValidation>
    <dataValidation type="list" showInputMessage="1" showErrorMessage="1" sqref="C1:C1048576" xr:uid="{7C56BFAD-EB57-4676-9504-BF9228C4189D}">
      <formula1>"COFFEE,BEVERAGE,WINE,BEER,FOOD,DAIRY,ALCOHOL,NON-FOOD"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"/>
  <sheetViews>
    <sheetView workbookViewId="0">
      <selection activeCell="E1" sqref="E1:E1048576"/>
    </sheetView>
  </sheetViews>
  <sheetFormatPr defaultRowHeight="14.5"/>
  <cols>
    <col min="1" max="1" width="10.6328125" bestFit="1" customWidth="1"/>
    <col min="2" max="2" width="12.1796875" bestFit="1" customWidth="1"/>
    <col min="3" max="3" width="10.453125" bestFit="1" customWidth="1"/>
    <col min="4" max="4" width="16.90625" bestFit="1" customWidth="1"/>
    <col min="5" max="5" width="7.26953125" bestFit="1" customWidth="1"/>
    <col min="6" max="6" width="10.81640625" bestFit="1" customWidth="1"/>
    <col min="7" max="7" width="13.36328125" style="36" bestFit="1" customWidth="1"/>
    <col min="8" max="8" width="9.08984375" bestFit="1" customWidth="1"/>
    <col min="9" max="9" width="14.81640625" bestFit="1" customWidth="1"/>
    <col min="10" max="10" width="7.453125" bestFit="1" customWidth="1"/>
    <col min="11" max="11" width="10.6328125" bestFit="1" customWidth="1"/>
    <col min="12" max="12" width="11.1796875" bestFit="1" customWidth="1"/>
  </cols>
  <sheetData>
    <row r="1" spans="1:12" s="15" customFormat="1" ht="14">
      <c r="A1" s="15" t="s">
        <v>6</v>
      </c>
      <c r="B1" s="15" t="s">
        <v>11</v>
      </c>
      <c r="C1" s="15" t="s">
        <v>13</v>
      </c>
      <c r="D1" s="15" t="s">
        <v>103</v>
      </c>
      <c r="E1" s="25" t="s">
        <v>47</v>
      </c>
      <c r="F1" s="15" t="s">
        <v>7</v>
      </c>
      <c r="G1" s="35" t="s">
        <v>9</v>
      </c>
      <c r="H1" s="16" t="s">
        <v>8</v>
      </c>
      <c r="I1" s="17" t="s">
        <v>10</v>
      </c>
      <c r="J1" s="17" t="s">
        <v>66</v>
      </c>
      <c r="K1" s="17" t="s">
        <v>35</v>
      </c>
      <c r="L1" s="17" t="s">
        <v>14</v>
      </c>
    </row>
    <row r="2" spans="1:12" s="7" customFormat="1" ht="15" customHeight="1">
      <c r="A2" s="19">
        <v>46023</v>
      </c>
      <c r="G2" s="31"/>
      <c r="H2" s="6">
        <f>Table51013323367[[#This Row],[Quantity]]*Table51013323367[[#This Row],[Unit Price]]</f>
        <v>0</v>
      </c>
      <c r="I2" s="8"/>
      <c r="J2" s="8"/>
      <c r="K2" s="8"/>
      <c r="L2" s="9">
        <f>(Table51013323367[[#This Row],[Total]] * (1 - Table51013323367[[#This Row],[Discount (%)]]) + Table51013323367[[#This Row],[ΕΦΚ]]) * (1 + Table51013323367[[#This Row],[TAX (%)]])</f>
        <v>0</v>
      </c>
    </row>
    <row r="3" spans="1:12" s="7" customFormat="1" ht="15" customHeight="1">
      <c r="A3" s="19"/>
      <c r="G3" s="31"/>
      <c r="H3" s="6"/>
      <c r="I3" s="8"/>
      <c r="J3" s="8"/>
      <c r="K3" s="8"/>
      <c r="L3" s="9"/>
    </row>
    <row r="4" spans="1:12" s="7" customFormat="1" ht="15" customHeight="1">
      <c r="A4" s="19"/>
      <c r="G4" s="31"/>
      <c r="H4" s="6"/>
      <c r="I4" s="8"/>
      <c r="J4" s="8"/>
      <c r="K4" s="8"/>
      <c r="L4" s="6"/>
    </row>
    <row r="5" spans="1:12" s="13" customFormat="1" ht="15" customHeight="1">
      <c r="A5" s="19"/>
      <c r="B5" s="20"/>
      <c r="C5" s="7"/>
      <c r="D5" s="7"/>
      <c r="E5" s="7"/>
      <c r="F5" s="7"/>
      <c r="G5" s="31"/>
      <c r="H5" s="6"/>
      <c r="I5" s="8"/>
      <c r="J5" s="8"/>
      <c r="K5" s="8"/>
      <c r="L5" s="6"/>
    </row>
    <row r="6" spans="1:12" s="5" customFormat="1">
      <c r="A6" s="10"/>
      <c r="B6" s="13"/>
      <c r="C6" s="19"/>
      <c r="D6" s="10"/>
      <c r="E6" s="10"/>
      <c r="F6" s="11"/>
      <c r="G6" s="31"/>
      <c r="H6" s="21"/>
      <c r="I6" s="8"/>
      <c r="J6" s="8"/>
      <c r="K6" s="12"/>
    </row>
  </sheetData>
  <dataValidations count="3">
    <dataValidation type="date" allowBlank="1" showInputMessage="1" showErrorMessage="1" sqref="A1:A5" xr:uid="{362E8E55-1F61-4F9C-8D0E-0B61E021D12A}">
      <formula1>1</formula1>
      <formula2>401404</formula2>
    </dataValidation>
    <dataValidation type="list" showInputMessage="1" showErrorMessage="1" sqref="E1:E1048576" xr:uid="{2E5F0346-2136-4A2C-9A11-5ED946D85E1D}">
      <formula1>"ΤΕΜ,ΚΙΒ,ΦΙΑ,ΚΙΛΑ,ΛΙΤΡΑ,ΠΑΚ,ΑΛΛΟ"</formula1>
    </dataValidation>
    <dataValidation type="list" showInputMessage="1" showErrorMessage="1" sqref="C1:C1048576" xr:uid="{E3AB2CF9-1BEF-4D56-B72B-59AFC13AAE14}">
      <formula1>"COFFEE,BEVERAGE,WINE,BEER,FOOD,DAIRY,ALCOHOL,NON-FOOD"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workbookViewId="0">
      <selection activeCell="E1" sqref="E1:E1048576"/>
    </sheetView>
  </sheetViews>
  <sheetFormatPr defaultRowHeight="14.5"/>
  <cols>
    <col min="1" max="1" width="10.6328125" style="14" bestFit="1" customWidth="1"/>
    <col min="2" max="2" width="12.1796875" style="14" bestFit="1" customWidth="1"/>
    <col min="3" max="3" width="10.453125" style="14" bestFit="1" customWidth="1"/>
    <col min="4" max="4" width="16.90625" style="14" bestFit="1" customWidth="1"/>
    <col min="5" max="5" width="7.26953125" style="18" bestFit="1" customWidth="1"/>
    <col min="6" max="6" width="10.81640625" style="18" bestFit="1" customWidth="1"/>
    <col min="7" max="7" width="13.36328125" style="38" bestFit="1" customWidth="1"/>
    <col min="8" max="8" width="9.08984375" style="18" bestFit="1" customWidth="1"/>
    <col min="9" max="9" width="14.81640625" style="14" bestFit="1" customWidth="1"/>
    <col min="10" max="10" width="7.453125" style="14" bestFit="1" customWidth="1"/>
    <col min="11" max="11" width="10.6328125" style="14" bestFit="1" customWidth="1"/>
    <col min="12" max="12" width="11.1796875" style="14" bestFit="1" customWidth="1"/>
    <col min="13" max="16384" width="8.7265625" style="14"/>
  </cols>
  <sheetData>
    <row r="1" spans="1:12" s="15" customFormat="1" ht="14">
      <c r="A1" s="15" t="s">
        <v>6</v>
      </c>
      <c r="B1" s="15" t="s">
        <v>11</v>
      </c>
      <c r="C1" s="15" t="s">
        <v>13</v>
      </c>
      <c r="D1" s="15" t="s">
        <v>103</v>
      </c>
      <c r="E1" s="25" t="s">
        <v>47</v>
      </c>
      <c r="F1" s="15" t="s">
        <v>7</v>
      </c>
      <c r="G1" s="35" t="s">
        <v>9</v>
      </c>
      <c r="H1" s="16" t="s">
        <v>8</v>
      </c>
      <c r="I1" s="17" t="s">
        <v>10</v>
      </c>
      <c r="J1" s="17" t="s">
        <v>66</v>
      </c>
      <c r="K1" s="17" t="s">
        <v>35</v>
      </c>
      <c r="L1" s="17" t="s">
        <v>14</v>
      </c>
    </row>
    <row r="2" spans="1:12" s="7" customFormat="1" ht="15" customHeight="1">
      <c r="A2" s="19">
        <v>46023</v>
      </c>
      <c r="G2" s="31"/>
      <c r="H2" s="6">
        <f>Table51013323370[[#This Row],[Quantity]]*Table51013323370[[#This Row],[Unit Price]]</f>
        <v>0</v>
      </c>
      <c r="I2" s="8"/>
      <c r="J2" s="8"/>
      <c r="K2" s="8"/>
      <c r="L2" s="9">
        <f>(Table51013323370[[#This Row],[Total]] * (1 - Table51013323370[[#This Row],[Discount (%)]]) + Table51013323370[[#This Row],[ΕΦΚ]]) * (1 + Table51013323370[[#This Row],[TAX (%)]])</f>
        <v>0</v>
      </c>
    </row>
    <row r="3" spans="1:12" s="7" customFormat="1" ht="15" customHeight="1">
      <c r="A3" s="19"/>
      <c r="G3" s="31"/>
      <c r="H3" s="6"/>
      <c r="I3" s="8"/>
      <c r="J3" s="8"/>
      <c r="K3" s="8"/>
      <c r="L3" s="9"/>
    </row>
    <row r="4" spans="1:12" s="7" customFormat="1" ht="15" customHeight="1">
      <c r="A4" s="19"/>
      <c r="G4" s="31"/>
      <c r="H4" s="6"/>
      <c r="I4" s="8"/>
      <c r="J4" s="8"/>
      <c r="K4" s="8"/>
      <c r="L4" s="6"/>
    </row>
    <row r="5" spans="1:12" s="13" customFormat="1" ht="15" customHeight="1">
      <c r="A5" s="19"/>
      <c r="B5" s="20"/>
      <c r="C5" s="7"/>
      <c r="D5" s="7"/>
      <c r="E5" s="7"/>
      <c r="F5" s="7"/>
      <c r="G5" s="31"/>
      <c r="H5" s="6"/>
      <c r="I5" s="8"/>
      <c r="J5" s="8"/>
      <c r="K5" s="8"/>
      <c r="L5" s="6"/>
    </row>
    <row r="6" spans="1:12" s="5" customFormat="1">
      <c r="A6" s="10"/>
      <c r="B6" s="13"/>
      <c r="C6" s="19"/>
      <c r="D6" s="10"/>
      <c r="E6" s="10"/>
      <c r="F6" s="11"/>
      <c r="G6" s="31"/>
      <c r="H6" s="21"/>
      <c r="I6" s="8"/>
      <c r="J6" s="8"/>
      <c r="K6" s="12"/>
    </row>
    <row r="7" spans="1:12" s="5" customFormat="1">
      <c r="A7" s="1"/>
      <c r="B7" s="1"/>
      <c r="C7" s="1"/>
      <c r="D7" s="1"/>
      <c r="E7" s="3"/>
      <c r="F7" s="3"/>
      <c r="G7" s="37"/>
      <c r="H7" s="4"/>
    </row>
    <row r="8" spans="1:12" s="5" customFormat="1">
      <c r="A8" s="1"/>
      <c r="B8" s="1"/>
      <c r="C8" s="1"/>
      <c r="D8" s="1"/>
      <c r="E8" s="3"/>
      <c r="F8" s="3"/>
      <c r="G8" s="37"/>
      <c r="H8" s="4"/>
    </row>
    <row r="9" spans="1:12" s="5" customFormat="1">
      <c r="A9" s="1"/>
      <c r="B9" s="1"/>
      <c r="C9" s="1"/>
      <c r="D9" s="1"/>
      <c r="E9" s="3"/>
      <c r="F9" s="3"/>
      <c r="G9" s="37"/>
      <c r="H9" s="4"/>
    </row>
    <row r="10" spans="1:12" s="5" customFormat="1">
      <c r="B10" s="1"/>
      <c r="C10" s="1"/>
      <c r="D10" s="1"/>
      <c r="E10" s="3"/>
      <c r="F10" s="3"/>
      <c r="G10" s="37"/>
      <c r="H10" s="4"/>
    </row>
    <row r="11" spans="1:12" s="5" customFormat="1">
      <c r="B11" s="1"/>
      <c r="C11" s="1"/>
      <c r="D11" s="2"/>
      <c r="E11" s="3"/>
      <c r="F11" s="3"/>
      <c r="G11" s="37"/>
      <c r="H11" s="4"/>
    </row>
    <row r="12" spans="1:12" s="5" customFormat="1">
      <c r="B12" s="1"/>
      <c r="C12" s="1"/>
      <c r="D12" s="2"/>
      <c r="E12" s="3"/>
      <c r="F12" s="3"/>
      <c r="G12" s="37"/>
      <c r="H12" s="4"/>
    </row>
    <row r="13" spans="1:12" s="5" customFormat="1">
      <c r="B13" s="1"/>
      <c r="C13" s="1"/>
      <c r="D13" s="2"/>
      <c r="E13" s="3"/>
      <c r="F13" s="3"/>
      <c r="G13" s="37"/>
      <c r="H13" s="4"/>
    </row>
    <row r="14" spans="1:12" s="5" customFormat="1">
      <c r="E14" s="4"/>
      <c r="F14" s="4"/>
      <c r="G14" s="37"/>
      <c r="H14" s="4"/>
    </row>
    <row r="15" spans="1:12" s="5" customFormat="1">
      <c r="E15" s="4"/>
      <c r="F15" s="4"/>
      <c r="G15" s="37"/>
      <c r="H15" s="4"/>
    </row>
    <row r="16" spans="1:12" s="5" customFormat="1">
      <c r="E16" s="4"/>
      <c r="F16" s="4"/>
      <c r="G16" s="37"/>
      <c r="H16" s="4"/>
    </row>
    <row r="17" spans="5:8" s="5" customFormat="1">
      <c r="E17" s="4"/>
      <c r="F17" s="4"/>
      <c r="G17" s="37"/>
      <c r="H17" s="4"/>
    </row>
    <row r="18" spans="5:8" s="5" customFormat="1">
      <c r="E18" s="4"/>
      <c r="F18" s="4"/>
      <c r="G18" s="37"/>
      <c r="H18" s="4"/>
    </row>
    <row r="19" spans="5:8" s="5" customFormat="1">
      <c r="E19" s="4"/>
      <c r="F19" s="4"/>
      <c r="G19" s="37"/>
      <c r="H19" s="4"/>
    </row>
  </sheetData>
  <dataValidations count="3">
    <dataValidation type="date" allowBlank="1" showInputMessage="1" showErrorMessage="1" sqref="A1:A5" xr:uid="{C9FA2E87-6FC8-4099-9A0C-9B135642ADC0}">
      <formula1>1</formula1>
      <formula2>401404</formula2>
    </dataValidation>
    <dataValidation type="list" showInputMessage="1" showErrorMessage="1" sqref="E1:E1048576" xr:uid="{ADDC6CE9-8371-4BC5-A6AF-ED7A083C4B83}">
      <formula1>"ΤΕΜ,ΚΙΒ,ΦΙΑ,ΚΙΛΑ,ΛΙΤΡΑ,ΠΑΚ,ΑΛΛΟ"</formula1>
    </dataValidation>
    <dataValidation type="list" showInputMessage="1" showErrorMessage="1" sqref="C1:C1048576" xr:uid="{AF3AD8F6-3A64-4CD5-8770-12AFD9D3CA19}">
      <formula1>"COFFEE,BEVERAGE,WINE,BEER,FOOD,DAIRY,ALCOHOL,NON-FOOD"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3701-35AC-4EA3-B4C8-E541D1195DAF}">
  <dimension ref="A1:L6"/>
  <sheetViews>
    <sheetView workbookViewId="0">
      <selection activeCell="E1" sqref="E1:E1048576"/>
    </sheetView>
  </sheetViews>
  <sheetFormatPr defaultRowHeight="14.5"/>
  <cols>
    <col min="1" max="1" width="10.6328125" bestFit="1" customWidth="1"/>
    <col min="2" max="2" width="12.1796875" bestFit="1" customWidth="1"/>
    <col min="3" max="3" width="10.453125" bestFit="1" customWidth="1"/>
    <col min="4" max="4" width="16.90625" bestFit="1" customWidth="1"/>
    <col min="5" max="5" width="7.26953125" bestFit="1" customWidth="1"/>
    <col min="6" max="6" width="10.81640625" bestFit="1" customWidth="1"/>
    <col min="7" max="7" width="13.36328125" style="36" bestFit="1" customWidth="1"/>
    <col min="8" max="8" width="9.08984375" bestFit="1" customWidth="1"/>
    <col min="9" max="9" width="14.81640625" bestFit="1" customWidth="1"/>
    <col min="10" max="10" width="7.453125" bestFit="1" customWidth="1"/>
    <col min="11" max="11" width="10.6328125" bestFit="1" customWidth="1"/>
    <col min="12" max="12" width="11.1796875" bestFit="1" customWidth="1"/>
  </cols>
  <sheetData>
    <row r="1" spans="1:12" s="15" customFormat="1" ht="14">
      <c r="A1" s="15" t="s">
        <v>6</v>
      </c>
      <c r="B1" s="15" t="s">
        <v>11</v>
      </c>
      <c r="C1" s="15" t="s">
        <v>13</v>
      </c>
      <c r="D1" s="15" t="s">
        <v>103</v>
      </c>
      <c r="E1" s="25" t="s">
        <v>47</v>
      </c>
      <c r="F1" s="15" t="s">
        <v>7</v>
      </c>
      <c r="G1" s="35" t="s">
        <v>9</v>
      </c>
      <c r="H1" s="16" t="s">
        <v>8</v>
      </c>
      <c r="I1" s="17" t="s">
        <v>10</v>
      </c>
      <c r="J1" s="17" t="s">
        <v>66</v>
      </c>
      <c r="K1" s="17" t="s">
        <v>35</v>
      </c>
      <c r="L1" s="17" t="s">
        <v>14</v>
      </c>
    </row>
    <row r="2" spans="1:12" s="7" customFormat="1" ht="15" customHeight="1">
      <c r="A2" s="19">
        <v>46023</v>
      </c>
      <c r="G2" s="31"/>
      <c r="H2" s="6">
        <f>Table5101332337071[[#This Row],[Quantity]]*Table5101332337071[[#This Row],[Unit Price]]</f>
        <v>0</v>
      </c>
      <c r="I2" s="8"/>
      <c r="J2" s="8"/>
      <c r="K2" s="8"/>
      <c r="L2" s="9">
        <f>(Table5101332337071[[#This Row],[Total]] * (1 - Table5101332337071[[#This Row],[Discount (%)]]) + Table5101332337071[[#This Row],[ΕΦΚ]]) * (1 + Table5101332337071[[#This Row],[TAX (%)]])</f>
        <v>0</v>
      </c>
    </row>
    <row r="3" spans="1:12" s="7" customFormat="1" ht="15" customHeight="1">
      <c r="A3" s="19"/>
      <c r="G3" s="31"/>
      <c r="H3" s="6"/>
      <c r="I3" s="8"/>
      <c r="J3" s="8"/>
      <c r="K3" s="8"/>
      <c r="L3" s="9"/>
    </row>
    <row r="4" spans="1:12" s="7" customFormat="1" ht="15" customHeight="1">
      <c r="A4" s="19"/>
      <c r="G4" s="31"/>
      <c r="H4" s="6"/>
      <c r="I4" s="8"/>
      <c r="J4" s="8"/>
      <c r="K4" s="8"/>
      <c r="L4" s="6"/>
    </row>
    <row r="5" spans="1:12" s="13" customFormat="1" ht="15" customHeight="1">
      <c r="A5" s="19"/>
      <c r="B5" s="20"/>
      <c r="C5" s="7"/>
      <c r="D5" s="7"/>
      <c r="E5" s="7"/>
      <c r="F5" s="7"/>
      <c r="G5" s="31"/>
      <c r="H5" s="6"/>
      <c r="I5" s="8"/>
      <c r="J5" s="8"/>
      <c r="K5" s="8"/>
      <c r="L5" s="6"/>
    </row>
    <row r="6" spans="1:12" s="5" customFormat="1">
      <c r="A6" s="10"/>
      <c r="B6" s="13"/>
      <c r="C6" s="19"/>
      <c r="D6" s="10"/>
      <c r="E6" s="10"/>
      <c r="F6" s="11"/>
      <c r="G6" s="31"/>
      <c r="H6" s="21"/>
      <c r="I6" s="8"/>
      <c r="J6" s="8"/>
      <c r="K6" s="12"/>
    </row>
  </sheetData>
  <dataValidations count="3">
    <dataValidation type="date" allowBlank="1" showInputMessage="1" showErrorMessage="1" sqref="A1:A5" xr:uid="{8D9A0AC6-B43D-423B-B578-620C208A9BB0}">
      <formula1>1</formula1>
      <formula2>401404</formula2>
    </dataValidation>
    <dataValidation type="list" showInputMessage="1" showErrorMessage="1" sqref="E1:E1048576" xr:uid="{700F79F4-4070-4D07-A086-740698A13FB6}">
      <formula1>"ΤΕΜ,ΚΙΒ,ΦΙΑ,ΚΙΛΑ,ΛΙΤΡΑ,ΠΑΚ,ΑΛΛΟ"</formula1>
    </dataValidation>
    <dataValidation type="list" showInputMessage="1" showErrorMessage="1" sqref="C1:C1048576" xr:uid="{8634CC62-49BE-4855-AFFB-9CCD87E6D7FD}">
      <formula1>"COFFEE,BEVERAGE,WINE,BEER,FOOD,DAIRY,ALCOHOL,NON-FOOD"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0004-AFEA-4BC4-B61B-58C4BF86C4BB}">
  <dimension ref="A1:L6"/>
  <sheetViews>
    <sheetView workbookViewId="0">
      <selection activeCell="E1" sqref="E1:E1048576"/>
    </sheetView>
  </sheetViews>
  <sheetFormatPr defaultRowHeight="14.5"/>
  <cols>
    <col min="1" max="1" width="10.6328125" bestFit="1" customWidth="1"/>
    <col min="2" max="2" width="12.1796875" bestFit="1" customWidth="1"/>
    <col min="3" max="3" width="10.453125" bestFit="1" customWidth="1"/>
    <col min="4" max="4" width="16.90625" bestFit="1" customWidth="1"/>
    <col min="5" max="5" width="7.26953125" bestFit="1" customWidth="1"/>
    <col min="6" max="6" width="10.81640625" bestFit="1" customWidth="1"/>
    <col min="7" max="7" width="13.36328125" style="36" bestFit="1" customWidth="1"/>
    <col min="8" max="8" width="9.08984375" bestFit="1" customWidth="1"/>
    <col min="9" max="9" width="14.81640625" bestFit="1" customWidth="1"/>
    <col min="10" max="10" width="7.453125" bestFit="1" customWidth="1"/>
    <col min="11" max="11" width="10.6328125" bestFit="1" customWidth="1"/>
    <col min="12" max="12" width="11.1796875" bestFit="1" customWidth="1"/>
  </cols>
  <sheetData>
    <row r="1" spans="1:12" s="15" customFormat="1" ht="14">
      <c r="A1" s="15" t="s">
        <v>6</v>
      </c>
      <c r="B1" s="15" t="s">
        <v>11</v>
      </c>
      <c r="C1" s="15" t="s">
        <v>13</v>
      </c>
      <c r="D1" s="15" t="s">
        <v>103</v>
      </c>
      <c r="E1" s="25" t="s">
        <v>47</v>
      </c>
      <c r="F1" s="15" t="s">
        <v>7</v>
      </c>
      <c r="G1" s="35" t="s">
        <v>9</v>
      </c>
      <c r="H1" s="16" t="s">
        <v>8</v>
      </c>
      <c r="I1" s="17" t="s">
        <v>10</v>
      </c>
      <c r="J1" s="17" t="s">
        <v>66</v>
      </c>
      <c r="K1" s="17" t="s">
        <v>35</v>
      </c>
      <c r="L1" s="17" t="s">
        <v>14</v>
      </c>
    </row>
    <row r="2" spans="1:12" s="7" customFormat="1" ht="15" customHeight="1">
      <c r="A2" s="19">
        <v>46023</v>
      </c>
      <c r="G2" s="31"/>
      <c r="H2" s="6">
        <f>Table5101332337072[[#This Row],[Quantity]]*Table5101332337072[[#This Row],[Unit Price]]</f>
        <v>0</v>
      </c>
      <c r="I2" s="8"/>
      <c r="J2" s="8"/>
      <c r="K2" s="8"/>
      <c r="L2" s="9">
        <f>(Table5101332337072[[#This Row],[Total]] * (1 - Table5101332337072[[#This Row],[Discount (%)]]) + Table5101332337072[[#This Row],[ΕΦΚ]]) * (1 + Table5101332337072[[#This Row],[TAX (%)]])</f>
        <v>0</v>
      </c>
    </row>
    <row r="3" spans="1:12" s="7" customFormat="1" ht="15" customHeight="1">
      <c r="A3" s="19"/>
      <c r="G3" s="31"/>
      <c r="H3" s="6"/>
      <c r="I3" s="8"/>
      <c r="J3" s="8"/>
      <c r="K3" s="8"/>
      <c r="L3" s="9"/>
    </row>
    <row r="4" spans="1:12" s="7" customFormat="1" ht="15" customHeight="1">
      <c r="A4" s="19"/>
      <c r="G4" s="31"/>
      <c r="H4" s="6"/>
      <c r="I4" s="8"/>
      <c r="J4" s="8"/>
      <c r="K4" s="8"/>
      <c r="L4" s="6"/>
    </row>
    <row r="5" spans="1:12" s="13" customFormat="1" ht="15" customHeight="1">
      <c r="A5" s="19"/>
      <c r="B5" s="20"/>
      <c r="C5" s="7"/>
      <c r="D5" s="7"/>
      <c r="E5" s="7"/>
      <c r="F5" s="7"/>
      <c r="G5" s="31"/>
      <c r="H5" s="6"/>
      <c r="I5" s="8"/>
      <c r="J5" s="8"/>
      <c r="K5" s="8"/>
      <c r="L5" s="6"/>
    </row>
    <row r="6" spans="1:12" s="5" customFormat="1">
      <c r="A6" s="10"/>
      <c r="B6" s="13"/>
      <c r="C6" s="19"/>
      <c r="D6" s="10"/>
      <c r="E6" s="10"/>
      <c r="F6" s="11"/>
      <c r="G6" s="31"/>
      <c r="H6" s="21"/>
      <c r="I6" s="8"/>
      <c r="J6" s="8"/>
      <c r="K6" s="12"/>
    </row>
  </sheetData>
  <dataValidations count="3">
    <dataValidation type="date" allowBlank="1" showInputMessage="1" showErrorMessage="1" sqref="A1:A5" xr:uid="{DB35630C-6262-440B-8751-80DFB219FA45}">
      <formula1>1</formula1>
      <formula2>401404</formula2>
    </dataValidation>
    <dataValidation type="list" showInputMessage="1" showErrorMessage="1" sqref="E1:E1048576" xr:uid="{5909467E-0CC3-409A-9129-35FF9AEAEC1C}">
      <formula1>"ΤΕΜ,ΚΙΒ,ΦΙΑ,ΚΙΛΑ,ΛΙΤΡΑ,ΠΑΚ,ΑΛΛΟ"</formula1>
    </dataValidation>
    <dataValidation type="list" showInputMessage="1" showErrorMessage="1" sqref="C1:C1048576" xr:uid="{D9970191-8C7A-42EF-8930-28E7D8F9B169}">
      <formula1>"COFFEE,BEVERAGE,WINE,BEER,FOOD,DAIRY,ALCOHOL,NON-FOOD"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AE71-9551-4B2A-9D42-B1B2CD5EE510}">
  <dimension ref="A1:L6"/>
  <sheetViews>
    <sheetView workbookViewId="0">
      <selection activeCell="E1" sqref="E1:E1048576"/>
    </sheetView>
  </sheetViews>
  <sheetFormatPr defaultRowHeight="14.5"/>
  <cols>
    <col min="1" max="1" width="10.6328125" bestFit="1" customWidth="1"/>
    <col min="2" max="2" width="12.1796875" bestFit="1" customWidth="1"/>
    <col min="3" max="3" width="10.453125" bestFit="1" customWidth="1"/>
    <col min="4" max="4" width="16.90625" bestFit="1" customWidth="1"/>
    <col min="5" max="5" width="7.26953125" bestFit="1" customWidth="1"/>
    <col min="6" max="6" width="10.81640625" bestFit="1" customWidth="1"/>
    <col min="7" max="7" width="13.36328125" style="36" bestFit="1" customWidth="1"/>
    <col min="8" max="8" width="9.08984375" bestFit="1" customWidth="1"/>
    <col min="9" max="9" width="14.81640625" bestFit="1" customWidth="1"/>
    <col min="10" max="10" width="7.453125" bestFit="1" customWidth="1"/>
    <col min="11" max="11" width="10.6328125" bestFit="1" customWidth="1"/>
    <col min="12" max="12" width="11.1796875" bestFit="1" customWidth="1"/>
  </cols>
  <sheetData>
    <row r="1" spans="1:12" s="15" customFormat="1" ht="14">
      <c r="A1" s="15" t="s">
        <v>6</v>
      </c>
      <c r="B1" s="15" t="s">
        <v>11</v>
      </c>
      <c r="C1" s="15" t="s">
        <v>13</v>
      </c>
      <c r="D1" s="15" t="s">
        <v>103</v>
      </c>
      <c r="E1" s="25" t="s">
        <v>47</v>
      </c>
      <c r="F1" s="15" t="s">
        <v>7</v>
      </c>
      <c r="G1" s="35" t="s">
        <v>9</v>
      </c>
      <c r="H1" s="16" t="s">
        <v>8</v>
      </c>
      <c r="I1" s="17" t="s">
        <v>10</v>
      </c>
      <c r="J1" s="17" t="s">
        <v>66</v>
      </c>
      <c r="K1" s="17" t="s">
        <v>35</v>
      </c>
      <c r="L1" s="17" t="s">
        <v>14</v>
      </c>
    </row>
    <row r="2" spans="1:12" s="7" customFormat="1" ht="15" customHeight="1">
      <c r="A2" s="19">
        <v>46023</v>
      </c>
      <c r="G2" s="31"/>
      <c r="H2" s="6">
        <f>Table5101332337073[[#This Row],[Quantity]]*Table5101332337073[[#This Row],[Unit Price]]</f>
        <v>0</v>
      </c>
      <c r="I2" s="8"/>
      <c r="J2" s="8"/>
      <c r="K2" s="8"/>
      <c r="L2" s="9">
        <f>(Table5101332337073[[#This Row],[Total]] * (1 - Table5101332337073[[#This Row],[Discount (%)]]) + Table5101332337073[[#This Row],[ΕΦΚ]]) * (1 + Table5101332337073[[#This Row],[TAX (%)]])</f>
        <v>0</v>
      </c>
    </row>
    <row r="3" spans="1:12" s="7" customFormat="1" ht="15" customHeight="1">
      <c r="A3" s="19"/>
      <c r="G3" s="31"/>
      <c r="H3" s="6"/>
      <c r="I3" s="8"/>
      <c r="J3" s="8"/>
      <c r="K3" s="8"/>
      <c r="L3" s="9"/>
    </row>
    <row r="4" spans="1:12" s="7" customFormat="1" ht="15" customHeight="1">
      <c r="A4" s="19"/>
      <c r="G4" s="31"/>
      <c r="H4" s="6"/>
      <c r="I4" s="8"/>
      <c r="J4" s="8"/>
      <c r="K4" s="8"/>
      <c r="L4" s="6"/>
    </row>
    <row r="5" spans="1:12" s="13" customFormat="1" ht="15" customHeight="1">
      <c r="A5" s="19"/>
      <c r="B5" s="20"/>
      <c r="C5" s="7"/>
      <c r="D5" s="7"/>
      <c r="E5" s="7"/>
      <c r="F5" s="7"/>
      <c r="G5" s="31"/>
      <c r="H5" s="6"/>
      <c r="I5" s="8"/>
      <c r="J5" s="8"/>
      <c r="K5" s="8"/>
      <c r="L5" s="6"/>
    </row>
    <row r="6" spans="1:12" s="5" customFormat="1">
      <c r="A6" s="10"/>
      <c r="B6" s="13"/>
      <c r="C6" s="19"/>
      <c r="D6" s="10"/>
      <c r="E6" s="10"/>
      <c r="F6" s="11"/>
      <c r="G6" s="31"/>
      <c r="H6" s="21"/>
      <c r="I6" s="8"/>
      <c r="J6" s="8"/>
      <c r="K6" s="12"/>
    </row>
  </sheetData>
  <dataValidations count="3">
    <dataValidation type="date" allowBlank="1" showInputMessage="1" showErrorMessage="1" sqref="A1:A5" xr:uid="{06331EAD-52D6-4159-9F6E-C1DA08D0060B}">
      <formula1>1</formula1>
      <formula2>401404</formula2>
    </dataValidation>
    <dataValidation type="list" showInputMessage="1" showErrorMessage="1" sqref="E1:E1048576" xr:uid="{B38A645D-FEC0-4C92-8D5C-E34DFA1809F3}">
      <formula1>"ΤΕΜ,ΚΙΒ,ΦΙΑ,ΚΙΛΑ,ΛΙΤΡΑ,ΠΑΚ,ΑΛΛΟ"</formula1>
    </dataValidation>
    <dataValidation type="list" showInputMessage="1" showErrorMessage="1" sqref="C1:C1048576" xr:uid="{F54EB5FE-9C7F-4EF1-A1E3-8F3CD76CA512}">
      <formula1>"COFFEE,BEVERAGE,WINE,BEER,FOOD,DAIRY,ALCOHOL,NON-FOOD"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982DCB-527C-452A-97BF-072577F51B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Menu</vt:lpstr>
      <vt:lpstr>KAZOULIS</vt:lpstr>
      <vt:lpstr>RHODIAN</vt:lpstr>
      <vt:lpstr>CHRISTODOULIDES</vt:lpstr>
      <vt:lpstr>Εταιρεία_Δ</vt:lpstr>
      <vt:lpstr>Εταιρεία_Ε</vt:lpstr>
      <vt:lpstr>Εταιρεία_Ζ</vt:lpstr>
      <vt:lpstr>Εταιρεία_Η</vt:lpstr>
      <vt:lpstr>Εταιρεία_Θ</vt:lpstr>
      <vt:lpstr>Εταιρεία_Ι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Franko Hysenllari</cp:lastModifiedBy>
  <dcterms:created xsi:type="dcterms:W3CDTF">2026-04-01T06:07:42Z</dcterms:created>
  <dcterms:modified xsi:type="dcterms:W3CDTF">2026-04-19T19:50:41Z</dcterms:modified>
</cp:coreProperties>
</file>