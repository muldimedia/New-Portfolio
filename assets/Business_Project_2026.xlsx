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rank\Desktop\"/>
    </mc:Choice>
  </mc:AlternateContent>
  <xr:revisionPtr revIDLastSave="0" documentId="13_ncr:1_{ABE15F58-D14F-41DB-8774-2B8E96A715AB}" xr6:coauthVersionLast="47" xr6:coauthVersionMax="47" xr10:uidLastSave="{00000000-0000-0000-0000-000000000000}"/>
  <bookViews>
    <workbookView xWindow="-110" yWindow="-110" windowWidth="25820" windowHeight="15500" tabRatio="847" xr2:uid="{00000000-000D-0000-FFFF-FFFF00000000}"/>
  </bookViews>
  <sheets>
    <sheet name="Menu" sheetId="1" r:id="rId1"/>
    <sheet name="KAZOULIS" sheetId="2" r:id="rId2"/>
    <sheet name="RHODIAN" sheetId="17" r:id="rId3"/>
    <sheet name="CHRISTODOULIDES" sheetId="4" r:id="rId4"/>
    <sheet name="ΚΟΖΑΣ" sheetId="18" r:id="rId5"/>
    <sheet name="ΣΚΟΝΗΣ ΦΡΟΥΤΑ" sheetId="8" r:id="rId6"/>
    <sheet name="ΑΓΓΕΛΗΣ ΟΕ" sheetId="9" r:id="rId7"/>
    <sheet name="ΞΗΡΟΙ ΚΑΡΠΟΙ &amp; ΜΕΛΙ" sheetId="10" r:id="rId8"/>
    <sheet name="BAZAAR" sheetId="5" r:id="rId9"/>
    <sheet name="CLEANING" sheetId="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" i="7" l="1"/>
  <c r="L3" i="7"/>
  <c r="L4" i="7"/>
  <c r="L5" i="7"/>
  <c r="L6" i="7"/>
  <c r="L7" i="7"/>
  <c r="L8" i="7"/>
  <c r="L9" i="7"/>
  <c r="L10" i="7"/>
  <c r="L11" i="7"/>
  <c r="L12" i="7"/>
  <c r="H2" i="7"/>
  <c r="H3" i="7"/>
  <c r="H4" i="7"/>
  <c r="H5" i="7"/>
  <c r="H6" i="7"/>
  <c r="H7" i="7"/>
  <c r="H8" i="7"/>
  <c r="H9" i="7"/>
  <c r="H10" i="7"/>
  <c r="H11" i="7"/>
  <c r="H12" i="7"/>
  <c r="H23" i="18"/>
  <c r="L23" i="18" s="1"/>
  <c r="H22" i="18"/>
  <c r="L22" i="18" s="1"/>
  <c r="H21" i="18"/>
  <c r="L21" i="18" s="1"/>
  <c r="H28" i="18"/>
  <c r="L28" i="18" s="1"/>
  <c r="H27" i="18"/>
  <c r="L27" i="18" s="1"/>
  <c r="H26" i="18"/>
  <c r="L26" i="18" s="1"/>
  <c r="H25" i="18"/>
  <c r="L25" i="18" s="1"/>
  <c r="H24" i="18"/>
  <c r="L24" i="18" s="1"/>
  <c r="H43" i="18"/>
  <c r="L43" i="18" s="1"/>
  <c r="H42" i="18"/>
  <c r="L42" i="18" s="1"/>
  <c r="H41" i="18"/>
  <c r="L41" i="18" s="1"/>
  <c r="H40" i="18"/>
  <c r="L40" i="18" s="1"/>
  <c r="H39" i="18"/>
  <c r="L39" i="18" s="1"/>
  <c r="H78" i="18"/>
  <c r="L78" i="18" s="1"/>
  <c r="H77" i="18"/>
  <c r="L77" i="18" s="1"/>
  <c r="H82" i="18"/>
  <c r="L82" i="18" s="1"/>
  <c r="H81" i="18"/>
  <c r="L81" i="18" s="1"/>
  <c r="H80" i="18"/>
  <c r="L80" i="18" s="1"/>
  <c r="H79" i="18"/>
  <c r="L79" i="18" s="1"/>
  <c r="H76" i="18"/>
  <c r="L76" i="18" s="1"/>
  <c r="H75" i="18"/>
  <c r="L75" i="18" s="1"/>
  <c r="H74" i="18"/>
  <c r="L74" i="18" s="1"/>
  <c r="H73" i="18"/>
  <c r="L73" i="18" s="1"/>
  <c r="H21" i="10"/>
  <c r="L21" i="10" s="1"/>
  <c r="H84" i="18"/>
  <c r="L84" i="18" s="1"/>
  <c r="H83" i="18"/>
  <c r="L83" i="18" s="1"/>
  <c r="H89" i="18"/>
  <c r="L89" i="18" s="1"/>
  <c r="H88" i="18"/>
  <c r="L88" i="18" s="1"/>
  <c r="H87" i="18"/>
  <c r="L87" i="18" s="1"/>
  <c r="H86" i="18"/>
  <c r="L86" i="18" s="1"/>
  <c r="H85" i="18"/>
  <c r="L85" i="18" s="1"/>
  <c r="H67" i="18"/>
  <c r="L67" i="18" s="1"/>
  <c r="H66" i="18"/>
  <c r="L66" i="18" s="1"/>
  <c r="H65" i="18"/>
  <c r="L65" i="18" s="1"/>
  <c r="H64" i="18"/>
  <c r="L64" i="18" s="1"/>
  <c r="H50" i="18"/>
  <c r="L50" i="18" s="1"/>
  <c r="H49" i="18"/>
  <c r="L49" i="18" s="1"/>
  <c r="H48" i="18"/>
  <c r="L48" i="18" s="1"/>
  <c r="H47" i="18"/>
  <c r="L47" i="18" s="1"/>
  <c r="H46" i="18"/>
  <c r="L46" i="18" s="1"/>
  <c r="H45" i="18"/>
  <c r="L45" i="18" s="1"/>
  <c r="H44" i="18"/>
  <c r="L44" i="18" s="1"/>
  <c r="H53" i="18"/>
  <c r="L53" i="18" s="1"/>
  <c r="H52" i="18"/>
  <c r="L52" i="18" s="1"/>
  <c r="H51" i="18"/>
  <c r="L51" i="18" s="1"/>
  <c r="H34" i="18"/>
  <c r="L34" i="18" s="1"/>
  <c r="H33" i="18"/>
  <c r="L33" i="18" s="1"/>
  <c r="H32" i="18"/>
  <c r="L32" i="18" s="1"/>
  <c r="H31" i="18"/>
  <c r="L31" i="18" s="1"/>
  <c r="H72" i="18"/>
  <c r="L72" i="18" s="1"/>
  <c r="H71" i="18"/>
  <c r="L71" i="18" s="1"/>
  <c r="H70" i="18"/>
  <c r="L70" i="18" s="1"/>
  <c r="H69" i="18"/>
  <c r="L69" i="18" s="1"/>
  <c r="H68" i="18"/>
  <c r="L68" i="18" s="1"/>
  <c r="H63" i="18"/>
  <c r="L63" i="18" s="1"/>
  <c r="H62" i="18"/>
  <c r="L62" i="18" s="1"/>
  <c r="H61" i="18"/>
  <c r="L61" i="18" s="1"/>
  <c r="H60" i="18"/>
  <c r="L60" i="18" s="1"/>
  <c r="H59" i="18"/>
  <c r="L59" i="18" s="1"/>
  <c r="H58" i="18"/>
  <c r="L58" i="18" s="1"/>
  <c r="H57" i="18"/>
  <c r="L57" i="18" s="1"/>
  <c r="H56" i="18"/>
  <c r="L56" i="18" s="1"/>
  <c r="H55" i="18"/>
  <c r="L55" i="18" s="1"/>
  <c r="H54" i="18"/>
  <c r="L54" i="18" s="1"/>
  <c r="H30" i="18"/>
  <c r="L30" i="18" s="1"/>
  <c r="H29" i="18"/>
  <c r="L29" i="18" s="1"/>
  <c r="H38" i="18"/>
  <c r="L38" i="18" s="1"/>
  <c r="H37" i="18"/>
  <c r="L37" i="18" s="1"/>
  <c r="H36" i="18"/>
  <c r="L36" i="18" s="1"/>
  <c r="H35" i="18"/>
  <c r="L35" i="18" s="1"/>
  <c r="H20" i="18"/>
  <c r="L20" i="18" s="1"/>
  <c r="H19" i="18"/>
  <c r="L19" i="18" s="1"/>
  <c r="H18" i="18"/>
  <c r="L18" i="18" s="1"/>
  <c r="H17" i="18"/>
  <c r="L17" i="18" s="1"/>
  <c r="H16" i="18"/>
  <c r="L16" i="18" s="1"/>
  <c r="H15" i="18"/>
  <c r="L15" i="18" s="1"/>
  <c r="H14" i="18"/>
  <c r="L14" i="18" s="1"/>
  <c r="H13" i="18"/>
  <c r="L13" i="18" s="1"/>
  <c r="H12" i="18"/>
  <c r="L12" i="18" s="1"/>
  <c r="H11" i="18"/>
  <c r="L11" i="18" s="1"/>
  <c r="H10" i="18"/>
  <c r="L10" i="18" s="1"/>
  <c r="H6" i="18"/>
  <c r="L6" i="18" s="1"/>
  <c r="H5" i="18"/>
  <c r="L5" i="18" s="1"/>
  <c r="H4" i="18"/>
  <c r="L4" i="18" s="1"/>
  <c r="H3" i="18"/>
  <c r="L3" i="18" s="1"/>
  <c r="H2" i="18"/>
  <c r="L2" i="18" s="1"/>
  <c r="H8" i="18"/>
  <c r="L8" i="18" s="1"/>
  <c r="H7" i="18"/>
  <c r="L7" i="18" s="1"/>
  <c r="H9" i="18"/>
  <c r="L9" i="18" s="1"/>
  <c r="H20" i="10"/>
  <c r="L20" i="10" s="1"/>
  <c r="H19" i="10"/>
  <c r="L19" i="10" s="1"/>
  <c r="H18" i="10"/>
  <c r="L18" i="10" s="1"/>
  <c r="H17" i="10"/>
  <c r="L17" i="10" s="1"/>
  <c r="H16" i="10"/>
  <c r="L16" i="10" s="1"/>
  <c r="H15" i="10"/>
  <c r="L15" i="10" s="1"/>
  <c r="H14" i="10"/>
  <c r="L14" i="10" s="1"/>
  <c r="H13" i="10"/>
  <c r="L13" i="10" s="1"/>
  <c r="H12" i="10"/>
  <c r="L12" i="10" s="1"/>
  <c r="H4" i="10"/>
  <c r="L4" i="10" s="1"/>
  <c r="H9" i="10"/>
  <c r="L9" i="10" s="1"/>
  <c r="H8" i="10"/>
  <c r="L8" i="10" s="1"/>
  <c r="H7" i="10"/>
  <c r="L7" i="10" s="1"/>
  <c r="H6" i="10"/>
  <c r="L6" i="10" s="1"/>
  <c r="H5" i="10"/>
  <c r="L5" i="10" s="1"/>
  <c r="H3" i="10"/>
  <c r="L3" i="10" s="1"/>
  <c r="H2" i="10"/>
  <c r="L2" i="10" s="1"/>
  <c r="H22" i="10"/>
  <c r="L22" i="10" s="1"/>
  <c r="H11" i="10"/>
  <c r="L11" i="10" s="1"/>
  <c r="H10" i="10"/>
  <c r="L10" i="10" s="1"/>
  <c r="H8" i="9"/>
  <c r="L8" i="9" s="1"/>
  <c r="H7" i="9"/>
  <c r="L7" i="9" s="1"/>
  <c r="H37" i="9"/>
  <c r="L37" i="9" s="1"/>
  <c r="H36" i="9"/>
  <c r="L36" i="9" s="1"/>
  <c r="H35" i="9"/>
  <c r="L35" i="9" s="1"/>
  <c r="H34" i="9"/>
  <c r="L34" i="9" s="1"/>
  <c r="H33" i="9"/>
  <c r="L33" i="9" s="1"/>
  <c r="H32" i="9"/>
  <c r="L32" i="9" s="1"/>
  <c r="H31" i="9"/>
  <c r="L31" i="9" s="1"/>
  <c r="H30" i="9"/>
  <c r="L30" i="9" s="1"/>
  <c r="H29" i="9"/>
  <c r="L29" i="9" s="1"/>
  <c r="H28" i="9"/>
  <c r="L28" i="9" s="1"/>
  <c r="H27" i="9"/>
  <c r="L27" i="9" s="1"/>
  <c r="H24" i="9"/>
  <c r="L24" i="9" s="1"/>
  <c r="H23" i="9"/>
  <c r="L23" i="9" s="1"/>
  <c r="H43" i="9"/>
  <c r="L43" i="9" s="1"/>
  <c r="H71" i="9"/>
  <c r="L71" i="9" s="1"/>
  <c r="H70" i="9"/>
  <c r="L70" i="9" s="1"/>
  <c r="H69" i="9"/>
  <c r="L69" i="9" s="1"/>
  <c r="H68" i="9"/>
  <c r="L68" i="9" s="1"/>
  <c r="H67" i="9"/>
  <c r="L67" i="9" s="1"/>
  <c r="H66" i="9"/>
  <c r="L66" i="9" s="1"/>
  <c r="H65" i="9"/>
  <c r="L65" i="9" s="1"/>
  <c r="H64" i="9"/>
  <c r="L64" i="9" s="1"/>
  <c r="H63" i="9"/>
  <c r="L63" i="9" s="1"/>
  <c r="H62" i="9"/>
  <c r="L62" i="9" s="1"/>
  <c r="H61" i="9"/>
  <c r="L61" i="9" s="1"/>
  <c r="H59" i="9"/>
  <c r="L59" i="9" s="1"/>
  <c r="H60" i="9"/>
  <c r="L60" i="9" s="1"/>
  <c r="H58" i="9"/>
  <c r="L58" i="9" s="1"/>
  <c r="H57" i="9"/>
  <c r="L57" i="9" s="1"/>
  <c r="H55" i="9"/>
  <c r="L55" i="9" s="1"/>
  <c r="H54" i="9"/>
  <c r="L54" i="9" s="1"/>
  <c r="H53" i="9"/>
  <c r="L53" i="9" s="1"/>
  <c r="H52" i="9"/>
  <c r="L52" i="9" s="1"/>
  <c r="H51" i="9"/>
  <c r="L51" i="9" s="1"/>
  <c r="H50" i="9"/>
  <c r="L50" i="9" s="1"/>
  <c r="H56" i="9"/>
  <c r="L56" i="9" s="1"/>
  <c r="H49" i="9"/>
  <c r="L49" i="9" s="1"/>
  <c r="H48" i="9"/>
  <c r="L48" i="9" s="1"/>
  <c r="H45" i="9"/>
  <c r="L45" i="9" s="1"/>
  <c r="H46" i="9"/>
  <c r="L46" i="9" s="1"/>
  <c r="H47" i="9"/>
  <c r="L47" i="9" s="1"/>
  <c r="H44" i="9"/>
  <c r="L44" i="9" s="1"/>
  <c r="H42" i="9"/>
  <c r="L42" i="9" s="1"/>
  <c r="H41" i="9"/>
  <c r="L41" i="9" s="1"/>
  <c r="H40" i="9"/>
  <c r="L40" i="9" s="1"/>
  <c r="H39" i="9"/>
  <c r="L39" i="9" s="1"/>
  <c r="H38" i="9"/>
  <c r="L38" i="9" s="1"/>
  <c r="H22" i="9"/>
  <c r="L22" i="9" s="1"/>
  <c r="H21" i="9"/>
  <c r="L21" i="9" s="1"/>
  <c r="H25" i="9"/>
  <c r="L25" i="9" s="1"/>
  <c r="H26" i="9"/>
  <c r="L26" i="9" s="1"/>
  <c r="H14" i="9"/>
  <c r="L14" i="9" s="1"/>
  <c r="H13" i="9"/>
  <c r="L13" i="9" s="1"/>
  <c r="H10" i="9"/>
  <c r="L10" i="9" s="1"/>
  <c r="H20" i="9"/>
  <c r="L20" i="9" s="1"/>
  <c r="H19" i="9"/>
  <c r="L19" i="9" s="1"/>
  <c r="H16" i="9"/>
  <c r="L16" i="9" s="1"/>
  <c r="H15" i="9"/>
  <c r="L15" i="9" s="1"/>
  <c r="H9" i="9"/>
  <c r="L9" i="9" s="1"/>
  <c r="H12" i="9"/>
  <c r="L12" i="9" s="1"/>
  <c r="H11" i="9"/>
  <c r="L11" i="9" s="1"/>
  <c r="H18" i="9"/>
  <c r="L18" i="9" s="1"/>
  <c r="H17" i="9"/>
  <c r="L17" i="9" s="1"/>
  <c r="H6" i="9"/>
  <c r="L6" i="9" s="1"/>
  <c r="H5" i="9"/>
  <c r="L5" i="9" s="1"/>
  <c r="H4" i="9"/>
  <c r="L4" i="9" s="1"/>
  <c r="H3" i="9"/>
  <c r="L3" i="9" s="1"/>
  <c r="H26" i="8"/>
  <c r="L26" i="8" s="1"/>
  <c r="H25" i="8"/>
  <c r="L25" i="8" s="1"/>
  <c r="H24" i="8"/>
  <c r="L24" i="8" s="1"/>
  <c r="H23" i="8"/>
  <c r="L23" i="8" s="1"/>
  <c r="H22" i="8"/>
  <c r="L22" i="8" s="1"/>
  <c r="H21" i="8"/>
  <c r="L21" i="8" s="1"/>
  <c r="H20" i="8"/>
  <c r="L20" i="8" s="1"/>
  <c r="H19" i="8"/>
  <c r="L19" i="8" s="1"/>
  <c r="H47" i="8"/>
  <c r="L47" i="8" s="1"/>
  <c r="H46" i="8"/>
  <c r="L46" i="8" s="1"/>
  <c r="H45" i="8"/>
  <c r="L45" i="8" s="1"/>
  <c r="H44" i="8"/>
  <c r="L44" i="8" s="1"/>
  <c r="H43" i="8"/>
  <c r="L43" i="8" s="1"/>
  <c r="H42" i="8"/>
  <c r="L42" i="8" s="1"/>
  <c r="H91" i="8"/>
  <c r="L91" i="8" s="1"/>
  <c r="H90" i="8"/>
  <c r="L90" i="8" s="1"/>
  <c r="H89" i="8"/>
  <c r="L89" i="8" s="1"/>
  <c r="H88" i="8"/>
  <c r="L88" i="8" s="1"/>
  <c r="H87" i="8"/>
  <c r="L87" i="8" s="1"/>
  <c r="H74" i="8"/>
  <c r="L74" i="8" s="1"/>
  <c r="H73" i="8"/>
  <c r="L73" i="8" s="1"/>
  <c r="H72" i="8"/>
  <c r="L72" i="8" s="1"/>
  <c r="H71" i="8"/>
  <c r="L71" i="8" s="1"/>
  <c r="H70" i="8"/>
  <c r="L70" i="8" s="1"/>
  <c r="H69" i="8"/>
  <c r="L69" i="8" s="1"/>
  <c r="H68" i="8"/>
  <c r="L68" i="8" s="1"/>
  <c r="H86" i="8"/>
  <c r="L86" i="8" s="1"/>
  <c r="H85" i="8"/>
  <c r="L85" i="8" s="1"/>
  <c r="H84" i="8"/>
  <c r="L84" i="8" s="1"/>
  <c r="H83" i="8"/>
  <c r="L83" i="8" s="1"/>
  <c r="H82" i="8"/>
  <c r="L82" i="8" s="1"/>
  <c r="H81" i="8"/>
  <c r="L81" i="8" s="1"/>
  <c r="H80" i="8"/>
  <c r="L80" i="8" s="1"/>
  <c r="H79" i="8"/>
  <c r="L79" i="8" s="1"/>
  <c r="H78" i="8"/>
  <c r="L78" i="8" s="1"/>
  <c r="H77" i="8"/>
  <c r="L77" i="8" s="1"/>
  <c r="H76" i="8"/>
  <c r="L76" i="8" s="1"/>
  <c r="H75" i="8"/>
  <c r="L75" i="8" s="1"/>
  <c r="H93" i="8"/>
  <c r="L93" i="8" s="1"/>
  <c r="H92" i="8"/>
  <c r="L92" i="8" s="1"/>
  <c r="H97" i="8"/>
  <c r="L97" i="8" s="1"/>
  <c r="H96" i="8"/>
  <c r="L96" i="8" s="1"/>
  <c r="H95" i="8"/>
  <c r="L95" i="8" s="1"/>
  <c r="H94" i="8"/>
  <c r="L94" i="8" s="1"/>
  <c r="H137" i="8"/>
  <c r="L137" i="8" s="1"/>
  <c r="H136" i="8"/>
  <c r="L136" i="8" s="1"/>
  <c r="H135" i="8"/>
  <c r="L135" i="8" s="1"/>
  <c r="H134" i="8"/>
  <c r="L134" i="8" s="1"/>
  <c r="H133" i="8"/>
  <c r="L133" i="8" s="1"/>
  <c r="H132" i="8"/>
  <c r="L132" i="8" s="1"/>
  <c r="H131" i="8"/>
  <c r="L131" i="8" s="1"/>
  <c r="H130" i="8"/>
  <c r="L130" i="8" s="1"/>
  <c r="H129" i="8"/>
  <c r="L129" i="8" s="1"/>
  <c r="H126" i="8"/>
  <c r="L126" i="8" s="1"/>
  <c r="H125" i="8"/>
  <c r="L125" i="8" s="1"/>
  <c r="H124" i="8"/>
  <c r="L124" i="8" s="1"/>
  <c r="H123" i="8"/>
  <c r="L123" i="8" s="1"/>
  <c r="H122" i="8"/>
  <c r="L122" i="8" s="1"/>
  <c r="H128" i="8"/>
  <c r="L128" i="8" s="1"/>
  <c r="H127" i="8"/>
  <c r="L127" i="8" s="1"/>
  <c r="H121" i="8"/>
  <c r="L121" i="8" s="1"/>
  <c r="H120" i="8"/>
  <c r="L120" i="8" s="1"/>
  <c r="H119" i="8"/>
  <c r="L119" i="8" s="1"/>
  <c r="H118" i="8"/>
  <c r="L118" i="8" s="1"/>
  <c r="H117" i="8"/>
  <c r="L117" i="8" s="1"/>
  <c r="H116" i="8"/>
  <c r="L116" i="8" s="1"/>
  <c r="H115" i="8"/>
  <c r="L115" i="8" s="1"/>
  <c r="H114" i="8"/>
  <c r="L114" i="8" s="1"/>
  <c r="H113" i="8"/>
  <c r="L113" i="8" s="1"/>
  <c r="H112" i="8"/>
  <c r="L112" i="8" s="1"/>
  <c r="H111" i="8"/>
  <c r="L111" i="8" s="1"/>
  <c r="H110" i="8"/>
  <c r="L110" i="8" s="1"/>
  <c r="H109" i="8"/>
  <c r="L109" i="8" s="1"/>
  <c r="H108" i="8"/>
  <c r="L108" i="8" s="1"/>
  <c r="H107" i="8"/>
  <c r="L107" i="8" s="1"/>
  <c r="H106" i="8"/>
  <c r="L106" i="8" s="1"/>
  <c r="H105" i="8"/>
  <c r="L105" i="8" s="1"/>
  <c r="H104" i="8"/>
  <c r="L104" i="8" s="1"/>
  <c r="H103" i="8"/>
  <c r="L103" i="8" s="1"/>
  <c r="H102" i="8"/>
  <c r="L102" i="8" s="1"/>
  <c r="H101" i="8"/>
  <c r="L101" i="8" s="1"/>
  <c r="H100" i="8"/>
  <c r="L100" i="8" s="1"/>
  <c r="H99" i="8"/>
  <c r="L99" i="8" s="1"/>
  <c r="H98" i="8"/>
  <c r="L98" i="8" s="1"/>
  <c r="H60" i="8"/>
  <c r="L60" i="8" s="1"/>
  <c r="H59" i="8"/>
  <c r="L59" i="8" s="1"/>
  <c r="H58" i="8"/>
  <c r="L58" i="8" s="1"/>
  <c r="H57" i="8"/>
  <c r="L57" i="8" s="1"/>
  <c r="H56" i="8"/>
  <c r="L56" i="8" s="1"/>
  <c r="H55" i="8"/>
  <c r="L55" i="8" s="1"/>
  <c r="H54" i="8"/>
  <c r="L54" i="8" s="1"/>
  <c r="H53" i="8"/>
  <c r="L53" i="8" s="1"/>
  <c r="H36" i="8"/>
  <c r="L36" i="8" s="1"/>
  <c r="H35" i="8"/>
  <c r="L35" i="8" s="1"/>
  <c r="H34" i="8"/>
  <c r="L34" i="8" s="1"/>
  <c r="H52" i="8"/>
  <c r="L52" i="8" s="1"/>
  <c r="H51" i="8"/>
  <c r="L51" i="8" s="1"/>
  <c r="H50" i="8"/>
  <c r="L50" i="8" s="1"/>
  <c r="H49" i="8"/>
  <c r="L49" i="8" s="1"/>
  <c r="H48" i="8"/>
  <c r="L48" i="8" s="1"/>
  <c r="H67" i="8"/>
  <c r="L67" i="8" s="1"/>
  <c r="H66" i="8"/>
  <c r="L66" i="8" s="1"/>
  <c r="H65" i="8"/>
  <c r="L65" i="8" s="1"/>
  <c r="H64" i="8"/>
  <c r="L64" i="8" s="1"/>
  <c r="H63" i="8"/>
  <c r="L63" i="8" s="1"/>
  <c r="H62" i="8"/>
  <c r="L62" i="8" s="1"/>
  <c r="H29" i="8"/>
  <c r="L29" i="8" s="1"/>
  <c r="H30" i="8"/>
  <c r="L30" i="8" s="1"/>
  <c r="H31" i="8"/>
  <c r="L31" i="8" s="1"/>
  <c r="H32" i="8"/>
  <c r="L32" i="8" s="1"/>
  <c r="H33" i="8"/>
  <c r="L33" i="8" s="1"/>
  <c r="H28" i="8"/>
  <c r="L28" i="8" s="1"/>
  <c r="H27" i="8"/>
  <c r="L27" i="8" s="1"/>
  <c r="H39" i="8"/>
  <c r="L39" i="8" s="1"/>
  <c r="H41" i="8"/>
  <c r="L41" i="8" s="1"/>
  <c r="H40" i="8"/>
  <c r="L40" i="8" s="1"/>
  <c r="H38" i="8"/>
  <c r="L38" i="8" s="1"/>
  <c r="H37" i="8"/>
  <c r="L37" i="8" s="1"/>
  <c r="H61" i="8"/>
  <c r="L61" i="8" s="1"/>
  <c r="H18" i="8"/>
  <c r="L18" i="8" s="1"/>
  <c r="H17" i="8"/>
  <c r="L17" i="8" s="1"/>
  <c r="H16" i="8"/>
  <c r="L16" i="8" s="1"/>
  <c r="H15" i="8"/>
  <c r="L15" i="8" s="1"/>
  <c r="H14" i="8"/>
  <c r="L14" i="8" s="1"/>
  <c r="H13" i="8"/>
  <c r="L13" i="8" s="1"/>
  <c r="H12" i="8"/>
  <c r="L12" i="8" s="1"/>
  <c r="H11" i="8"/>
  <c r="L11" i="8" s="1"/>
  <c r="H4" i="8"/>
  <c r="L4" i="8" s="1"/>
  <c r="H5" i="8"/>
  <c r="L5" i="8" s="1"/>
  <c r="H6" i="8"/>
  <c r="L6" i="8" s="1"/>
  <c r="H7" i="8"/>
  <c r="L7" i="8" s="1"/>
  <c r="H8" i="8"/>
  <c r="L8" i="8" s="1"/>
  <c r="H9" i="8"/>
  <c r="L9" i="8" s="1"/>
  <c r="H10" i="8"/>
  <c r="L10" i="8" s="1"/>
  <c r="H3" i="8"/>
  <c r="L3" i="8" s="1"/>
  <c r="H15" i="5"/>
  <c r="L15" i="5" s="1"/>
  <c r="H14" i="5"/>
  <c r="L14" i="5" s="1"/>
  <c r="H12" i="5"/>
  <c r="L12" i="5" s="1"/>
  <c r="H11" i="5"/>
  <c r="L11" i="5" s="1"/>
  <c r="H21" i="5"/>
  <c r="L21" i="5" s="1"/>
  <c r="H20" i="5"/>
  <c r="L20" i="5" s="1"/>
  <c r="H19" i="5"/>
  <c r="L19" i="5" s="1"/>
  <c r="H18" i="5"/>
  <c r="L18" i="5" s="1"/>
  <c r="H17" i="5"/>
  <c r="L17" i="5" s="1"/>
  <c r="H16" i="5"/>
  <c r="L16" i="5" s="1"/>
  <c r="H13" i="5"/>
  <c r="L13" i="5" s="1"/>
  <c r="H22" i="5"/>
  <c r="L22" i="5" s="1"/>
  <c r="H27" i="5"/>
  <c r="L27" i="5" s="1"/>
  <c r="H26" i="5"/>
  <c r="L26" i="5" s="1"/>
  <c r="H25" i="5"/>
  <c r="L25" i="5" s="1"/>
  <c r="H24" i="5"/>
  <c r="L24" i="5" s="1"/>
  <c r="H23" i="5"/>
  <c r="L23" i="5" s="1"/>
  <c r="H4" i="5"/>
  <c r="L4" i="5" s="1"/>
  <c r="H3" i="5"/>
  <c r="L3" i="5" s="1"/>
  <c r="H2" i="5"/>
  <c r="L2" i="5" s="1"/>
  <c r="H8" i="5"/>
  <c r="L8" i="5" s="1"/>
  <c r="H7" i="5"/>
  <c r="L7" i="5" s="1"/>
  <c r="H6" i="5"/>
  <c r="L6" i="5" s="1"/>
  <c r="H5" i="5"/>
  <c r="L5" i="5" s="1"/>
  <c r="H10" i="5"/>
  <c r="L10" i="5" s="1"/>
  <c r="H13" i="17"/>
  <c r="L13" i="17" s="1"/>
  <c r="H14" i="17"/>
  <c r="L14" i="17" s="1"/>
  <c r="H15" i="17"/>
  <c r="L15" i="17" s="1"/>
  <c r="H16" i="17"/>
  <c r="L16" i="17" s="1"/>
  <c r="H17" i="17"/>
  <c r="L17" i="17" s="1"/>
  <c r="H18" i="17"/>
  <c r="L18" i="17" s="1"/>
  <c r="H19" i="17"/>
  <c r="L19" i="17" s="1"/>
  <c r="H20" i="17"/>
  <c r="L20" i="17" s="1"/>
  <c r="H21" i="17"/>
  <c r="L21" i="17" s="1"/>
  <c r="H22" i="17"/>
  <c r="L22" i="17" s="1"/>
  <c r="H23" i="17"/>
  <c r="L23" i="17" s="1"/>
  <c r="H24" i="17"/>
  <c r="L24" i="17" s="1"/>
  <c r="H25" i="17"/>
  <c r="L25" i="17" s="1"/>
  <c r="H26" i="17"/>
  <c r="L26" i="17" s="1"/>
  <c r="H27" i="17"/>
  <c r="L27" i="17" s="1"/>
  <c r="H28" i="17"/>
  <c r="L28" i="17" s="1"/>
  <c r="H29" i="17"/>
  <c r="L29" i="17" s="1"/>
  <c r="H30" i="17"/>
  <c r="L30" i="17" s="1"/>
  <c r="H31" i="17"/>
  <c r="L31" i="17" s="1"/>
  <c r="H32" i="17"/>
  <c r="L32" i="17" s="1"/>
  <c r="H33" i="17"/>
  <c r="L33" i="17" s="1"/>
  <c r="H34" i="17"/>
  <c r="L34" i="17" s="1"/>
  <c r="H35" i="17"/>
  <c r="L35" i="17" s="1"/>
  <c r="H36" i="17"/>
  <c r="L36" i="17" s="1"/>
  <c r="H37" i="17"/>
  <c r="L37" i="17" s="1"/>
  <c r="H38" i="17"/>
  <c r="L38" i="17" s="1"/>
  <c r="H12" i="17"/>
  <c r="L12" i="17" s="1"/>
  <c r="H11" i="17"/>
  <c r="L11" i="17" s="1"/>
  <c r="H4" i="2"/>
  <c r="L4" i="2" s="1"/>
  <c r="H3" i="2"/>
  <c r="L3" i="2" s="1"/>
  <c r="H2" i="2"/>
  <c r="L2" i="2" s="1"/>
  <c r="H10" i="17"/>
  <c r="L10" i="17" s="1"/>
  <c r="H9" i="17"/>
  <c r="L9" i="17" s="1"/>
  <c r="H8" i="17"/>
  <c r="L8" i="17" s="1"/>
  <c r="H7" i="17"/>
  <c r="L7" i="17" s="1"/>
  <c r="H6" i="17"/>
  <c r="L6" i="17" s="1"/>
  <c r="H5" i="17"/>
  <c r="L5" i="17" s="1"/>
  <c r="H4" i="17"/>
  <c r="L4" i="17" s="1"/>
  <c r="H3" i="17"/>
  <c r="L3" i="17" s="1"/>
  <c r="H2" i="17"/>
  <c r="L2" i="17" s="1"/>
  <c r="H36" i="4"/>
  <c r="L36" i="4" s="1"/>
  <c r="H35" i="4"/>
  <c r="L35" i="4" s="1"/>
  <c r="H34" i="4"/>
  <c r="H37" i="4"/>
  <c r="L37" i="4" s="1"/>
  <c r="H39" i="4"/>
  <c r="L39" i="4" s="1"/>
  <c r="H38" i="4"/>
  <c r="L38" i="4" s="1"/>
  <c r="H40" i="4"/>
  <c r="L40" i="4" s="1"/>
  <c r="H44" i="4"/>
  <c r="L44" i="4" s="1"/>
  <c r="H43" i="4"/>
  <c r="L43" i="4" s="1"/>
  <c r="H42" i="4"/>
  <c r="H41" i="4"/>
  <c r="H46" i="4"/>
  <c r="L46" i="4" s="1"/>
  <c r="H45" i="4"/>
  <c r="L45" i="4" s="1"/>
  <c r="H49" i="4"/>
  <c r="L49" i="4" s="1"/>
  <c r="H48" i="4"/>
  <c r="L48" i="4" s="1"/>
  <c r="H47" i="4"/>
  <c r="H53" i="4"/>
  <c r="L53" i="4" s="1"/>
  <c r="H52" i="4"/>
  <c r="L52" i="4" s="1"/>
  <c r="H51" i="4"/>
  <c r="L51" i="4" s="1"/>
  <c r="H50" i="4"/>
  <c r="L50" i="4" s="1"/>
  <c r="H55" i="4"/>
  <c r="L55" i="4" s="1"/>
  <c r="H54" i="4"/>
  <c r="L54" i="4" s="1"/>
  <c r="H56" i="4"/>
  <c r="L56" i="4" s="1"/>
  <c r="H62" i="4"/>
  <c r="L62" i="4" s="1"/>
  <c r="H61" i="4"/>
  <c r="L61" i="4" s="1"/>
  <c r="H60" i="4"/>
  <c r="L60" i="4" s="1"/>
  <c r="H64" i="4"/>
  <c r="L64" i="4" s="1"/>
  <c r="H63" i="4"/>
  <c r="L63" i="4" s="1"/>
  <c r="H67" i="4"/>
  <c r="L67" i="4" s="1"/>
  <c r="H66" i="4"/>
  <c r="L66" i="4" s="1"/>
  <c r="H65" i="4"/>
  <c r="L65" i="4" s="1"/>
  <c r="H69" i="4"/>
  <c r="L69" i="4" s="1"/>
  <c r="H68" i="4"/>
  <c r="L68" i="4" s="1"/>
  <c r="H72" i="4"/>
  <c r="L72" i="4" s="1"/>
  <c r="H71" i="4"/>
  <c r="L71" i="4" s="1"/>
  <c r="H70" i="4"/>
  <c r="L70" i="4" s="1"/>
  <c r="H74" i="4"/>
  <c r="L74" i="4" s="1"/>
  <c r="H73" i="4"/>
  <c r="L73" i="4" s="1"/>
  <c r="H77" i="4"/>
  <c r="L77" i="4" s="1"/>
  <c r="H76" i="4"/>
  <c r="L76" i="4" s="1"/>
  <c r="H75" i="4"/>
  <c r="L75" i="4" s="1"/>
  <c r="H78" i="4"/>
  <c r="L78" i="4" s="1"/>
  <c r="H80" i="4"/>
  <c r="L80" i="4" s="1"/>
  <c r="H79" i="4"/>
  <c r="L79" i="4" s="1"/>
  <c r="H81" i="4"/>
  <c r="L81" i="4" s="1"/>
  <c r="H84" i="4"/>
  <c r="L84" i="4" s="1"/>
  <c r="H83" i="4"/>
  <c r="L83" i="4" s="1"/>
  <c r="H82" i="4"/>
  <c r="L82" i="4" s="1"/>
  <c r="H59" i="4"/>
  <c r="L59" i="4" s="1"/>
  <c r="H58" i="4"/>
  <c r="L58" i="4" s="1"/>
  <c r="H57" i="4"/>
  <c r="L57" i="4" s="1"/>
  <c r="H23" i="10"/>
  <c r="L23" i="10" s="1"/>
  <c r="H2" i="9"/>
  <c r="L2" i="9" s="1"/>
  <c r="H2" i="8"/>
  <c r="L2" i="8" s="1"/>
  <c r="H9" i="5"/>
  <c r="L9" i="5" s="1"/>
  <c r="H54" i="17"/>
  <c r="L54" i="17" s="1"/>
  <c r="H56" i="17"/>
  <c r="L56" i="17" s="1"/>
  <c r="H55" i="17"/>
  <c r="L55" i="17" s="1"/>
  <c r="H53" i="17"/>
  <c r="L53" i="17" s="1"/>
  <c r="H52" i="17"/>
  <c r="L52" i="17" s="1"/>
  <c r="H45" i="17"/>
  <c r="L45" i="17" s="1"/>
  <c r="H46" i="17"/>
  <c r="L46" i="17" s="1"/>
  <c r="H47" i="17"/>
  <c r="L47" i="17" s="1"/>
  <c r="H48" i="17"/>
  <c r="L48" i="17" s="1"/>
  <c r="H49" i="17"/>
  <c r="L49" i="17" s="1"/>
  <c r="H50" i="17"/>
  <c r="L50" i="17" s="1"/>
  <c r="H51" i="17"/>
  <c r="L51" i="17" s="1"/>
  <c r="H40" i="17"/>
  <c r="L40" i="17" s="1"/>
  <c r="H41" i="17"/>
  <c r="L41" i="17" s="1"/>
  <c r="H42" i="17"/>
  <c r="L42" i="17" s="1"/>
  <c r="H43" i="17"/>
  <c r="L43" i="17" s="1"/>
  <c r="H44" i="17"/>
  <c r="L44" i="17" s="1"/>
  <c r="H39" i="17"/>
  <c r="L39" i="17" s="1"/>
  <c r="H39" i="2"/>
  <c r="L39" i="2" s="1"/>
  <c r="H5" i="4"/>
  <c r="L5" i="4" s="1"/>
  <c r="H4" i="4"/>
  <c r="L4" i="4" s="1"/>
  <c r="H3" i="4"/>
  <c r="L3" i="4" s="1"/>
  <c r="H2" i="4"/>
  <c r="L2" i="4" s="1"/>
  <c r="H8" i="4"/>
  <c r="L8" i="4" s="1"/>
  <c r="H7" i="4"/>
  <c r="L7" i="4" s="1"/>
  <c r="H6" i="4"/>
  <c r="L6" i="4" s="1"/>
  <c r="H12" i="4"/>
  <c r="L12" i="4" s="1"/>
  <c r="H11" i="4"/>
  <c r="L11" i="4" s="1"/>
  <c r="H10" i="4"/>
  <c r="L10" i="4" s="1"/>
  <c r="H9" i="4"/>
  <c r="L9" i="4" s="1"/>
  <c r="H14" i="4"/>
  <c r="L14" i="4" s="1"/>
  <c r="H13" i="4"/>
  <c r="L13" i="4" s="1"/>
  <c r="H40" i="2"/>
  <c r="L40" i="2" s="1"/>
  <c r="H41" i="2"/>
  <c r="L41" i="2" s="1"/>
  <c r="H37" i="2"/>
  <c r="L37" i="2" s="1"/>
  <c r="H38" i="2"/>
  <c r="L38" i="2" s="1"/>
  <c r="H33" i="2"/>
  <c r="L33" i="2" s="1"/>
  <c r="H34" i="2"/>
  <c r="L34" i="2" s="1"/>
  <c r="H35" i="2"/>
  <c r="L35" i="2" s="1"/>
  <c r="H36" i="2"/>
  <c r="L36" i="2" s="1"/>
  <c r="H32" i="2"/>
  <c r="L32" i="2" s="1"/>
  <c r="H31" i="2"/>
  <c r="L31" i="2" s="1"/>
  <c r="H30" i="2"/>
  <c r="L30" i="2" s="1"/>
  <c r="H29" i="2"/>
  <c r="L29" i="2" s="1"/>
  <c r="H28" i="2"/>
  <c r="L28" i="2" s="1"/>
  <c r="H27" i="2"/>
  <c r="L27" i="2" s="1"/>
  <c r="H25" i="2"/>
  <c r="L25" i="2" s="1"/>
  <c r="H24" i="2"/>
  <c r="L24" i="2" s="1"/>
  <c r="H26" i="2"/>
  <c r="L26" i="2" s="1"/>
  <c r="H23" i="2"/>
  <c r="L23" i="2" s="1"/>
  <c r="H22" i="2"/>
  <c r="L22" i="2" s="1"/>
  <c r="H17" i="4"/>
  <c r="L17" i="4" s="1"/>
  <c r="H18" i="4"/>
  <c r="L18" i="4" s="1"/>
  <c r="H16" i="4"/>
  <c r="L16" i="4" s="1"/>
  <c r="H15" i="4"/>
  <c r="L15" i="4" s="1"/>
  <c r="H21" i="4"/>
  <c r="L21" i="4" s="1"/>
  <c r="H20" i="4"/>
  <c r="L20" i="4" s="1"/>
  <c r="H19" i="4"/>
  <c r="L19" i="4" s="1"/>
  <c r="H23" i="4"/>
  <c r="L23" i="4" s="1"/>
  <c r="H22" i="4"/>
  <c r="L22" i="4" s="1"/>
  <c r="H24" i="4"/>
  <c r="L24" i="4" s="1"/>
  <c r="H26" i="4"/>
  <c r="L26" i="4" s="1"/>
  <c r="H25" i="4"/>
  <c r="L25" i="4" s="1"/>
  <c r="H28" i="4"/>
  <c r="L28" i="4" s="1"/>
  <c r="H27" i="4"/>
  <c r="L27" i="4" s="1"/>
  <c r="H30" i="4"/>
  <c r="L30" i="4" s="1"/>
  <c r="H31" i="4"/>
  <c r="L31" i="4" s="1"/>
  <c r="H29" i="4"/>
  <c r="L29" i="4" s="1"/>
  <c r="H32" i="4"/>
  <c r="L32" i="4" s="1"/>
  <c r="H33" i="4"/>
  <c r="L33" i="4" s="1"/>
  <c r="H6" i="2"/>
  <c r="L6" i="2" s="1"/>
  <c r="H5" i="2"/>
  <c r="L5" i="2" s="1"/>
  <c r="H10" i="2"/>
  <c r="L10" i="2" s="1"/>
  <c r="H9" i="2"/>
  <c r="L9" i="2" s="1"/>
  <c r="H8" i="2"/>
  <c r="L8" i="2" s="1"/>
  <c r="H7" i="2"/>
  <c r="L7" i="2" s="1"/>
  <c r="H11" i="2"/>
  <c r="L11" i="2" s="1"/>
  <c r="H12" i="2"/>
  <c r="L12" i="2" s="1"/>
  <c r="H19" i="2"/>
  <c r="H20" i="2"/>
  <c r="L20" i="2" s="1"/>
  <c r="H16" i="2"/>
  <c r="L16" i="2" s="1"/>
  <c r="H17" i="2"/>
  <c r="L17" i="2" s="1"/>
  <c r="H15" i="2"/>
  <c r="L15" i="2" s="1"/>
  <c r="H14" i="2"/>
  <c r="L14" i="2" s="1"/>
  <c r="H13" i="2"/>
  <c r="L13" i="2" s="1"/>
  <c r="H21" i="2"/>
  <c r="L21" i="2" s="1"/>
  <c r="H18" i="2"/>
  <c r="L18" i="2" s="1"/>
  <c r="D26" i="1" a="1"/>
  <c r="B11" i="1"/>
  <c r="B16" i="1"/>
  <c r="B14" i="1"/>
  <c r="B13" i="1"/>
  <c r="B17" i="1"/>
  <c r="B10" i="1"/>
  <c r="B15" i="1"/>
  <c r="B12" i="1"/>
  <c r="D26" i="1" l="1"/>
  <c r="L34" i="4"/>
  <c r="L42" i="4"/>
  <c r="L41" i="4"/>
  <c r="L47" i="4"/>
  <c r="L19" i="2"/>
  <c r="B9" i="1"/>
  <c r="H5" i="1"/>
  <c r="J26" i="1" l="1"/>
  <c r="B7" i="1"/>
  <c r="B26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<sst xmlns="http://schemas.openxmlformats.org/spreadsheetml/2006/main" count="2010" uniqueCount="346">
  <si>
    <t>Company Name</t>
  </si>
  <si>
    <t>SUMMARY DASHBOARD</t>
  </si>
  <si>
    <t>Total Amount</t>
  </si>
  <si>
    <t>Date</t>
  </si>
  <si>
    <t>Quantity</t>
  </si>
  <si>
    <t>Total</t>
  </si>
  <si>
    <t>Unit Price</t>
  </si>
  <si>
    <t>Discount (%)</t>
  </si>
  <si>
    <t>Invoice ID</t>
  </si>
  <si>
    <t xml:space="preserve">Search Product </t>
  </si>
  <si>
    <t>Product</t>
  </si>
  <si>
    <t>Net Cost</t>
  </si>
  <si>
    <t>TOTAL</t>
  </si>
  <si>
    <t>Ιανουάριος</t>
  </si>
  <si>
    <t>Select Month</t>
  </si>
  <si>
    <t>Φεβρουάριος</t>
  </si>
  <si>
    <t>Μάρτιος</t>
  </si>
  <si>
    <t>Απρίλιος</t>
  </si>
  <si>
    <t>Ιούνιος</t>
  </si>
  <si>
    <t>Ιούλιος</t>
  </si>
  <si>
    <t>Αύγουστος</t>
  </si>
  <si>
    <t>Σεπτέμβριος</t>
  </si>
  <si>
    <t>Δεκέμβριος</t>
  </si>
  <si>
    <t>Οκτώβριος</t>
  </si>
  <si>
    <t>Νοέμβριος</t>
  </si>
  <si>
    <t>Μάιος</t>
  </si>
  <si>
    <t>Select Year</t>
  </si>
  <si>
    <t>RHODIAN</t>
  </si>
  <si>
    <t>MOS ΑΦΡΩΔΗΣ ΟΙΝΟΣ CAIR 750ml</t>
  </si>
  <si>
    <t>TAX (%)</t>
  </si>
  <si>
    <t>WINE</t>
  </si>
  <si>
    <t>PFANNER ΠΟΡΤΟΚΑΛΙ 2L</t>
  </si>
  <si>
    <t>ΑΜΠΕΛΗΣΙΟΥΣ ΕΡΥΘΡΟΣ ΗΜΙΓ. 24x250gr</t>
  </si>
  <si>
    <t>ΑΜΠΕΛΗΣΙΟΥΣ ΕΡΥΘΡΟΣ ΞΗΡΟΣ 24x250gr</t>
  </si>
  <si>
    <t>ΑΜΠΕΛΗΣΙΟΥΣ ΛΕΥΚΟΣ ΞΗΡΟΣ 24x250gr</t>
  </si>
  <si>
    <t>ΚΑΡΑΔΗΜΟΣ ΠΑΛΙΟΚΑΣΤΡΑ ΛΕΥΚΟΣ ΞΗΡΟΣ 750ml</t>
  </si>
  <si>
    <t>ΣΑΜΠΑΝΙΑ CAIR BRUT 750ml</t>
  </si>
  <si>
    <t>ΣΑΜΠΑΝΙΑ CAIR SEC 750ml</t>
  </si>
  <si>
    <t>ΛΑΖΑΡΙΔΗ ΜΑΓΙΚΟ ΒΟΥΝΟ ΛΕΥΚΟ 750ml</t>
  </si>
  <si>
    <t>ΝΙΚΟ ΛΑΖΑΡΙΔΗ CAVALIERI ΜΑΛΑΓΟΥΖΙΑ 750ml</t>
  </si>
  <si>
    <t>ΝΙΚΟ ΛΑΖΑΡΙΔΗ CAVALIERI ΑΣΥΡΤΙΚΟ 750ml</t>
  </si>
  <si>
    <t>UoM</t>
  </si>
  <si>
    <t>ΤΕΜ</t>
  </si>
  <si>
    <t>ΚΙΒ</t>
  </si>
  <si>
    <t>STELLA AROITS ΦΙΑΛΗ 24x330ml</t>
  </si>
  <si>
    <t>BEER</t>
  </si>
  <si>
    <t>ΜΥΘΟΣ ΜΠΙΡΑ ΦΙΑΛΗ 24x330ml</t>
  </si>
  <si>
    <t>ΚΕΝΑ ΠΛΑΣΤΙΚΑ ΜΥΘΟΣ 330ml</t>
  </si>
  <si>
    <t>ΚΕΝΕΣ ΓΥΑΛΙΝΕΣ ΦΙΑΛΕΣ ΜΥΘΟΣ 300ml</t>
  </si>
  <si>
    <t>ΦΙΑ</t>
  </si>
  <si>
    <t>KAZOULIS</t>
  </si>
  <si>
    <t>COFFEE</t>
  </si>
  <si>
    <t>ΚΑΦΕΣ ΕΣΠΡ.HAUSBRANDT 1kg Η.Η. Νο517</t>
  </si>
  <si>
    <t>ΚΙΛΑ</t>
  </si>
  <si>
    <t>ΤΣΑΙ ENGLISH CEYLON ΠΑΚ.25 ΤΕΜ. EILLES</t>
  </si>
  <si>
    <t>ΤΣΑΙ GREEN SUPERIOR ΠΑΚ.25 ΤΕΜ. EILLES</t>
  </si>
  <si>
    <t>URNEX CAFIZA ΒΑΡΕΛΑΚΙ ΚΑΘ/ΣΜΟΥ ΥΠΟΛ/ΤΩΝ 900gr</t>
  </si>
  <si>
    <t>ΜΠΙΣΚΟΤΟ ΚΑΡΑΜΕΛΑΣ HAUSBRANDT ΚΙΒ 300ΤΕΜ</t>
  </si>
  <si>
    <t>ΤΣΑΙ ASSAM SPECIAL ΠΑΚ.25 ΤΕΜ. EILLES</t>
  </si>
  <si>
    <t>ΠΟΤ.ΤΥΠ.ΔΙΑΦ. ART N.L 300 HAUS/ΣΥΣΚ 50ΑΔΑ</t>
  </si>
  <si>
    <t>ΕΦΚ</t>
  </si>
  <si>
    <t>ΤΑΜΠΛ. ESPRESSO HAUSBRANDT INTENSO ΣΥΜΒ. NESPRESSO</t>
  </si>
  <si>
    <t>ΚΑΦΕΣ ΕΛΛΗΝΙΚΟΣ ΞΑΝΘΟΣ</t>
  </si>
  <si>
    <t>ΚΑΦΕΣ ΦΙΛΤΡΟΥ COLOMBIA ΒΕΚΡΑΚΟΥ</t>
  </si>
  <si>
    <t>PANETTONE GLASSATO HAUSBRANDTTIN BOX 1KG</t>
  </si>
  <si>
    <t>ΔΙΑΦΗΜΙΣ ΗΜΕΡΟΛΟΓΙΟ AVEK</t>
  </si>
  <si>
    <t>ΤΣΑΙ ΑΡΩΜ EARL GREY BLUE</t>
  </si>
  <si>
    <t>ΜΡ/ ΚΑΠΑΚΙ ΠΙΠΙΛΑ ΜΑΥΡΗ Φ80 100ΤΜΧ ΑΜΕΡΙΚΑΝΙΚΟ (10Χ100)</t>
  </si>
  <si>
    <t xml:space="preserve">ΠΟΤ. 8oz / 50ΑΔΑ ΧΑΡΤ. LOGO HAUSBRANDT-BLACK </t>
  </si>
  <si>
    <t>ΚΑΠΑΚΙ ΓΙΑ ART 300-400/ΣΥΣΚ 100ΑΔΑ</t>
  </si>
  <si>
    <t>ΚΑΦΕΣ DECAFEIN. ΣΑΚ 250gr HAUSBRANDT</t>
  </si>
  <si>
    <t>ΖΑΧΑΡΗ ΜΕ ΣΤΕΒΙΑ ΠΑΚ. 400 ΤΕΜ FREEVIA</t>
  </si>
  <si>
    <t>CHRISTODOULIDES</t>
  </si>
  <si>
    <t>DLF PANCAKE 40X40gr</t>
  </si>
  <si>
    <t>ΤΔΑ-01-234923</t>
  </si>
  <si>
    <t>ΤΔΑ-01-235170</t>
  </si>
  <si>
    <t>DLF MIX MICRO ΧΕΙΡΟΠΟΙΗΤΑ ΨΩΜΑΚΙΑ 180X30gr</t>
  </si>
  <si>
    <t>FOOD</t>
  </si>
  <si>
    <t>ΤΔΑ-01-235313</t>
  </si>
  <si>
    <t>DLF HERITAGE ΚΡΟΥΑΣΑΝ ΒΟΥΤΥΡΟΥ 24% 60Χ70gr</t>
  </si>
  <si>
    <t>ΤΔΑ-01-235396</t>
  </si>
  <si>
    <t>DLF HERITAGE ΜΙΞ ΜΙΝΙ ΚΟΥΒΕΡ 105Χ40gr</t>
  </si>
  <si>
    <t>ΤΔΑ-01-235494</t>
  </si>
  <si>
    <t>KINGSMILL WHITE THICK 10X800gr</t>
  </si>
  <si>
    <t>ΤΔΑ-01-235750</t>
  </si>
  <si>
    <t>ΤΔΑ-01-235763</t>
  </si>
  <si>
    <t>ΓΑΛΑ ADORO ΜΕΡΙΔΑ 50Χ10Χ15gr</t>
  </si>
  <si>
    <t>ΤΔΑ-01-235865</t>
  </si>
  <si>
    <t>ΤΔΑ-01-236023</t>
  </si>
  <si>
    <t>DAIRY</t>
  </si>
  <si>
    <t>BH AMERICAN PANCAKES 40X40gr</t>
  </si>
  <si>
    <t>ΤΔΑ-01-236069</t>
  </si>
  <si>
    <t>ΜΑΡΜΕΛΑΔΑ ΜΕΡΙΔΑ ΦΡΑΟΥΛΑ BONNE MAMAN 4X15X30gr</t>
  </si>
  <si>
    <t>ΜΑΡΜΕΛΑΔΑ ΜΕΡΙΔΑ ΠΟΡΤΟΚΑΛΙ BONNE MAMAN 4X15X30gr</t>
  </si>
  <si>
    <t>ΤΔΑ-01-236113</t>
  </si>
  <si>
    <t>ΤΔΑ-01-236272</t>
  </si>
  <si>
    <t>ΤΔΑ-01-236497</t>
  </si>
  <si>
    <t>Description</t>
  </si>
  <si>
    <t xml:space="preserve">Invoice ID </t>
  </si>
  <si>
    <t xml:space="preserve">Total Spent </t>
  </si>
  <si>
    <t>BEVERAGE</t>
  </si>
  <si>
    <t>NON-FOOD</t>
  </si>
  <si>
    <t>Subtotal</t>
  </si>
  <si>
    <t>Μπίρες (Φιάλη, Κουτί, Βαρέλι)</t>
  </si>
  <si>
    <t>Ψωμιά, Croissants, Pancakes, Μαρμελάδες, Μπισκότα, Snacks</t>
  </si>
  <si>
    <t>Γάλα (Μερίδες/Φρέσκο), Ζάχαρη, Στέβια, Μέλι</t>
  </si>
  <si>
    <t>Ποτήρια, Καπάκια, Καλαμάκια, Καθαριστικά, Κενά</t>
  </si>
  <si>
    <t>Espresso (Beans/Capsules), Ελληνικός, Φίλτρου, Decaf</t>
  </si>
  <si>
    <t>Λευκά, Κόκκινα, Ροζέ, Σαμπάνιες</t>
  </si>
  <si>
    <t>Τσάι, Χυμοί, Αναψυκτικά, Νερά</t>
  </si>
  <si>
    <t>Select Company</t>
  </si>
  <si>
    <t>Category</t>
  </si>
  <si>
    <t>INCLUDES</t>
  </si>
  <si>
    <t>Select Order</t>
  </si>
  <si>
    <t>Descending</t>
  </si>
  <si>
    <t xml:space="preserve">Description </t>
  </si>
  <si>
    <t>Gin, Rum, Aperol, Ouzo</t>
  </si>
  <si>
    <t xml:space="preserve">ALCOHOL </t>
  </si>
  <si>
    <t xml:space="preserve"> </t>
  </si>
  <si>
    <t>ΠΑΚ</t>
  </si>
  <si>
    <t>ΤΔΑ-01-234334</t>
  </si>
  <si>
    <t>DLF MINI ΚΡΟΥΑΣΑΝ ΒΟΥΤΥΡΟΥ 24% 160Χ25gr</t>
  </si>
  <si>
    <t>ΤΔΑ-01-233302</t>
  </si>
  <si>
    <t>ΜΑΡΜΕΛΑΔΑ ΜΕΡΙΔΑ ΚΕΡΑΣΙ BONNE MAMAN 4X15X30gr</t>
  </si>
  <si>
    <t>ΤΔΑ-01-233396</t>
  </si>
  <si>
    <t>ΤΔΑ-01-233572</t>
  </si>
  <si>
    <t>ΤΔΑ-01-233862</t>
  </si>
  <si>
    <t>ΤΔΑ-01-233972</t>
  </si>
  <si>
    <t>ΤΔΑ-01-234094</t>
  </si>
  <si>
    <t>BRACES WHOLEMEAL BREAD TOAST 10X800gr</t>
  </si>
  <si>
    <t>ΤΔΑ-01-234166</t>
  </si>
  <si>
    <t>BRACES WHITE MALTED BREAD TOAST 10X800gr</t>
  </si>
  <si>
    <t>ΤΔΑ-01-234219</t>
  </si>
  <si>
    <t>ΤΔΑ-01-234248</t>
  </si>
  <si>
    <t>ΤΔΑ-01-234257</t>
  </si>
  <si>
    <t>ΤΔΑ-01-234295</t>
  </si>
  <si>
    <t>ΤΔΑ-01-234347</t>
  </si>
  <si>
    <t>ΤΔΑ-01-234407</t>
  </si>
  <si>
    <t>ΤΔΑ-01-234444</t>
  </si>
  <si>
    <t>ΤΔΑ-01-234509</t>
  </si>
  <si>
    <t>ΤΔΑ-01-234592</t>
  </si>
  <si>
    <t>ΤΔΑ-01-234636</t>
  </si>
  <si>
    <t>ΤΔΑ-01-234693</t>
  </si>
  <si>
    <t>ΤΔΑ-01-234834</t>
  </si>
  <si>
    <t>ΤΔΑ-01-234893</t>
  </si>
  <si>
    <t>ΤΔΑ-01-234909</t>
  </si>
  <si>
    <t>ΑΛΦΑ ΜΠΥΡΑ ΦΙΑΛΗ 24Χ330ml</t>
  </si>
  <si>
    <t>HEINEKEN BEER ΦΙΑΛΗ 24Χ330ml</t>
  </si>
  <si>
    <t>COCA COLA LIGHT ΓΥΑΛΙ 24X250ml</t>
  </si>
  <si>
    <t>ΣΟΔΑ SCHWEPPES ΦΙΑΛΗ 250ml</t>
  </si>
  <si>
    <t>TONIK SCHWEEPES ΦΙΑΛΗ 250ml</t>
  </si>
  <si>
    <t>PFANNER ΦΥΣ. ΧΥΜΟΣ ΜΗΛΟ 100% 2L</t>
  </si>
  <si>
    <t>ΦΙΑΛΕΣ ΚΕΝΕΣ ΜΠΥΡΑΣ ΑΘΗΝΑΪΚΗΣ (Φ) 330ml</t>
  </si>
  <si>
    <t>ΚΙΒΩΤΙΑ ΚΕΝΑ ΑΘΗΝΑΪΚΗΣ (Φ) 330ml</t>
  </si>
  <si>
    <t>ΠΛΑΣΤΗΚΑ ΠΛΗΡΕΣ 3Ε 250gr</t>
  </si>
  <si>
    <t>ΤΣΑΙ EARL GREY ΠΑΚ25 TEM EILLES</t>
  </si>
  <si>
    <t>ΚΛΕΩΝΗ ΛΕΥΚΟ ΗΜΙΓΛΥΚΟΣ 750ml</t>
  </si>
  <si>
    <t>ΚΤΗΜΑ ΤΙΜΠΛΑΛΕΞΗ Π.Ο.Π ΛΕΥΚΟΣ ΞΗΡΟΣ 750ml</t>
  </si>
  <si>
    <t>ΑΣΥΡΤΙΚΟ ΚΤΗΜΑ ΕΡΥΘΡΟΥ ΡΟΔΟΥ 750ml</t>
  </si>
  <si>
    <t>ΛΑΚΙΩΤΗ ΡΟΖΕ Π.Γ.Ε  750ml</t>
  </si>
  <si>
    <t>CABERNET SAUVIGNON ΖΗΝ ΗΔΕΩΣ 750ml</t>
  </si>
  <si>
    <t>ΞΙΝΟΜΑΥΡΟ ΠΟΠ VEGORITIS 750ml</t>
  </si>
  <si>
    <t>SANTO RUSSO CABERNET FRANK 750ml</t>
  </si>
  <si>
    <t>ΛΑΚΙΩΤΗΣ ΜΟΣΧΟΦΙΛΕΡΟ 750ml</t>
  </si>
  <si>
    <t>SAUVIGNON BLANC VEGORITIS 750ml</t>
  </si>
  <si>
    <t>ΚΡΑΣΙ ΡΟΔΟΣ 2400 CAIR 750ml</t>
  </si>
  <si>
    <t>LA LUNA ROSA ΡΟΖΕ ΗΜΙΓΛΥΚΟΣ ΠΑΤΡΑΪΚΗΣ 750ml</t>
  </si>
  <si>
    <t>ΒΑΛΕΣ ΚΟΥΠΑ ΡΟΖΕ ΛΑΖΑΡΙΔΗ 750ml</t>
  </si>
  <si>
    <t>ΧΕΙΛΙΑ ΣΤΑΦΥΛΙΑ ΡΟΖΕ 750ml</t>
  </si>
  <si>
    <t>GENUS ΡΟΖΕ ΞΗΡΟΣ ΤΙΜΠΛΑΛΕΞΗ 750ml</t>
  </si>
  <si>
    <t>PATHOS ΡΟΖΕ ΞΗΡΟΣ CAIR 750ml</t>
  </si>
  <si>
    <t>ΑΓΙΩΝΥΜΟ ΛΑΥΚΙΩΤΗ ΕΡΥΘΡΟΣ ΞΗΡΟΣ 750ml</t>
  </si>
  <si>
    <t>ΡΗΓΑΣ ΚΟΥΠΑ ΕΡΥΘΡΟΣ ΞΗΡΟΣ ΛΑΖΑΡΙΔΗ 750ml</t>
  </si>
  <si>
    <t>ΧΕΙΛΙΑ ΣΤΑΦΥΛΙΑ ΚΑΡΑΔΗΜΟΥ ΕΡΥΘΡΟΣ ΞΗΡΟΣ 750ml</t>
  </si>
  <si>
    <t>ALCOHOL</t>
  </si>
  <si>
    <t>JACK DANIELS 700ml</t>
  </si>
  <si>
    <t>ΟΥΙΣΚΙ JAMESON 700ml</t>
  </si>
  <si>
    <t>ΡΟΥΜΙ BACARDI ΛΕΥΚΟ 1L</t>
  </si>
  <si>
    <t>LEGENDARIO 700ml 34%</t>
  </si>
  <si>
    <t>GORDONS GIN 1L</t>
  </si>
  <si>
    <t>TANQUERAY GIN 700ml</t>
  </si>
  <si>
    <t>ABSOLUTE BLUE 700ml</t>
  </si>
  <si>
    <t>SMIRNOFF RED 700ml</t>
  </si>
  <si>
    <t>ΟΥΖΟ ΠΛΩΜΑΡΙΟΥ 1000ml</t>
  </si>
  <si>
    <t>METAXA 3 ΑΣΤΕΡΩΝ 1L</t>
  </si>
  <si>
    <t>BAZAAR</t>
  </si>
  <si>
    <t>ΡΟΔΟΠΑΓ 2.7KG ΜΕΓΑΛΟΣ ΣΑΚ</t>
  </si>
  <si>
    <t>HANSAPLAST 20TMX STRIPS WATER</t>
  </si>
  <si>
    <t>FARMER 1L 3.5% ΓΑΛΑ ΜΑΚΡΑΣ ΔΙΑ</t>
  </si>
  <si>
    <t>ΤΣΑΝΤΑ ΒΙΟΔΑΣΠΩΜΕΝΗ ΜΙΚΡΗ</t>
  </si>
  <si>
    <t>FARMER 150G ΚΑΡΥΔΟΨΙΧΑ / ΣΑΚΟΥ</t>
  </si>
  <si>
    <t>ΦΑΓΕ 200Gx3 ΑΓΕΛΑΔΙΤΣΑ 2%</t>
  </si>
  <si>
    <t>FARMER 200G CRANB ΞΗΡ. ΚΑΡΠ.</t>
  </si>
  <si>
    <t>MC CAIN 750G MEDIRERRANEAN ROT</t>
  </si>
  <si>
    <t>ΜΕΒΓΑΛ 500ml ΚΕΦΙΡ 1.5% ΛΙΠΑΡΑ</t>
  </si>
  <si>
    <t>ΑΠΛΩΣ 500ml ΚΕΦΙΡ</t>
  </si>
  <si>
    <t>ΟΛΥΜΠΟΣ 500ml ΚΕΦΙΡ 1% ΛΙΠΑΡΑ</t>
  </si>
  <si>
    <t>ΑΠΟΔΕΙΞΗ</t>
  </si>
  <si>
    <t>NOTES</t>
  </si>
  <si>
    <t>ΠΑΠΑΔΗΜΗΤΡΙΟΥ 250ml ΧΩΡ. ΓΛΟΥΤ</t>
  </si>
  <si>
    <t>ΠΟΡΤΟΚΑΛΙΑ ΒΑΛΕΝΤΣΙΑ ΛΑΚΩΝΙΑΣ</t>
  </si>
  <si>
    <t xml:space="preserve">ΑΧΛΑΔΙΑ ΚΡΥΣΤΑΛΙΑ ΤΥΡΝΑΒΟΥ </t>
  </si>
  <si>
    <t>ΑΚΤΙΝΙΔΙΑ ΠΕΛΛΑΣ ΚΑΤ:1</t>
  </si>
  <si>
    <t>ΚΡΕΜΜΥΔΙΑ ΚΟΚΚΙΝΑ RED CROSS</t>
  </si>
  <si>
    <t>ΜΗΛΑ ΣΤΑΡΚΙΝ ΠΗΛΙΟΥ ΚΑΤ:1</t>
  </si>
  <si>
    <t>ΤΟΜΑΤΕΣ ΕΚΣΤΑΣΗ ΚΡΗΤΗΣ NISSOS</t>
  </si>
  <si>
    <t>ΑΓΡΟΚΤΗΜΑ 1L ΝΕΚΤΑΡ ΠΟΡΤΟΚΑΛΙ</t>
  </si>
  <si>
    <t>ΑΓΡΟΚΤΗΜΑ 1L ΦΥΣ. ΧΥΜΟΣ 100% ΠΟΡΤΟΚΑΛΙ</t>
  </si>
  <si>
    <t xml:space="preserve">KLINEX 750ml WC GEL OCEAN </t>
  </si>
  <si>
    <t>TU-BO-FLO 60G HOT</t>
  </si>
  <si>
    <t>CLAX REVITA 20kg</t>
  </si>
  <si>
    <t>ΣΑΚΟΥΛΑ BLACK 85X110cm EXTRA HEAVY DUTY 20kg</t>
  </si>
  <si>
    <t>ΣΑΚΟΥΛΑΚΙ WC/ΓΡΑΦΕΙΟΥ WHITE 45X50cm (60x50TMX) 3000TMX</t>
  </si>
  <si>
    <t>A 00037185</t>
  </si>
  <si>
    <t>A 00037193</t>
  </si>
  <si>
    <t>JONMATIC 2000 20L</t>
  </si>
  <si>
    <t>JONMATIC 4000 20L</t>
  </si>
  <si>
    <t>A 00036958</t>
  </si>
  <si>
    <t>ΜΑΛΑΚΤΙΚΟ ΛΕΥΚΟ 4L</t>
  </si>
  <si>
    <t>CLEAN &amp; PAPER</t>
  </si>
  <si>
    <t>ΧΠ 40αρα ΦΑΚΕΛΟΣ AIRLAID ΛΕΥΚΟΣ 560τεμ</t>
  </si>
  <si>
    <t>ΧΕΙΡ/ΤΣΕΤΑ ΖΙΚ-ΖΑΚ 2400 ΦΥΛΛΑ ΛΕΥΚΗ Z-FOLD 20X24cm</t>
  </si>
  <si>
    <t>ΠΑΝΤΟΦΛΑ SOLE ΠΟΛΥΤΕΛΕΙΑΣ 5ΜΜ</t>
  </si>
  <si>
    <t>ΠΟΡΤΟΚΑΛΙΑ ΒΑΛΕΝΤΖΙΑ</t>
  </si>
  <si>
    <t>ΤΟΜΑΤΕΣ</t>
  </si>
  <si>
    <t>ΤΟΜΑΤΙΝΙΑ CHERRY ΒΕΛΑΝΙΔΙ</t>
  </si>
  <si>
    <t>ΡΟΚΑ ΒΑΒΥ</t>
  </si>
  <si>
    <t>ΑΓΓΟΥΡΑΚΙΑ ΚΙΛΟΥ</t>
  </si>
  <si>
    <t>ΜΗΛΑ ΣΤΑΡΚΕΝ</t>
  </si>
  <si>
    <t>ΑΧΛΑΔΙΑ ΚΡΥΣΤΑΛΙΑ</t>
  </si>
  <si>
    <t>ΜΠΑΝΑΝΕΣ ΤΣΙΚΙΤΑ</t>
  </si>
  <si>
    <t>ΦΡΑΟΥΛΕΣ</t>
  </si>
  <si>
    <t>ΜΗΛΑ ΓΚΡΑΝ ΣΜΙΘ</t>
  </si>
  <si>
    <t>ΣΚΟΝΗΣ ΦΡΟΥΤΑ</t>
  </si>
  <si>
    <t>ΠΟΡΤΟΚΑΛΙΑ ΜΕΡΛΙΝ</t>
  </si>
  <si>
    <t>ΣΑΛΑΤΑ ΣΕΚΛΑΝ</t>
  </si>
  <si>
    <t>ΣΠΑΝΑΚΙ ΒΑΒΥ</t>
  </si>
  <si>
    <t>ΤΟΜΑΤΕΣ ΡΟΔΟΥ</t>
  </si>
  <si>
    <t>ΠΙΠΕΡΙΕΣ ΠΡΑΣΙΝΕΣ</t>
  </si>
  <si>
    <t>ΠΟΡΤΟΚΑΛΙΑ ΓΙΑΦΑ</t>
  </si>
  <si>
    <t>ΑΚΤΙΝΙΔΙΟ</t>
  </si>
  <si>
    <t>ΠΟΡΤΟΚΑΛΙΑ ΚΟΙΝΑ</t>
  </si>
  <si>
    <t>ΑΓΓΟΥΡΙΑ Α</t>
  </si>
  <si>
    <t xml:space="preserve">ΤΟΜΑΤΕΣ </t>
  </si>
  <si>
    <t>ΜΠΑΝΑΝΕΣ</t>
  </si>
  <si>
    <t>ΠΟΡΤΟΚΑΛΙΑ ΣΥΣ/ΣΙΑΣ Α</t>
  </si>
  <si>
    <t>ΣΑΛΑΤΑ ΜΕΣΚΛΑΝ</t>
  </si>
  <si>
    <t>ΚΡΕΜΥΔΙ ΧΟΝΔΡΟ</t>
  </si>
  <si>
    <t>ΑΒΟΚΑΝΤΟ</t>
  </si>
  <si>
    <t>ΡΟΔΑΚΙΝΑ</t>
  </si>
  <si>
    <t>ΤΣΑΙΒΣ</t>
  </si>
  <si>
    <t>ΛΕΜΟΝΙ</t>
  </si>
  <si>
    <t>ΠΟΡΤ ΧΥΜΟΥ</t>
  </si>
  <si>
    <t>ΚΡΕΜΥΔΙ</t>
  </si>
  <si>
    <t>ΑΓΓΕΛΗΣ ΟΕ</t>
  </si>
  <si>
    <t>ΝΕΡΟ ΑΠΟΛΛΩΝΙΟ ΑΝΘΦ 330ml 12τεμ</t>
  </si>
  <si>
    <t>ΝΕΡΟ ΑΠΟΛΛΩΝΙΟ 500ml 24τεμ</t>
  </si>
  <si>
    <t>ΝΕΡΟ ΑΠΟΛΛΩΝΙΟ ΡΕΤ 1L 12τεμ</t>
  </si>
  <si>
    <t>COCA COLA ZERO K.330ml 24τεμ</t>
  </si>
  <si>
    <t>VAP ΠΟΡΤΟΚΑΛΑΔΑ K.330ml 24τεμ</t>
  </si>
  <si>
    <t>VAP ΛΕΜΟΝΑΔΑ K.330ml 24τεμ</t>
  </si>
  <si>
    <t>7UP K.330ml 24τεμ</t>
  </si>
  <si>
    <t>FRESH ΠΟΡΤΟΛΑΛΙ 1LT 6τεμ</t>
  </si>
  <si>
    <t>330ml ΦΙΑΛΗ(Ο/Ζ)</t>
  </si>
  <si>
    <t>COCA COLA K.330ml 24τεμ</t>
  </si>
  <si>
    <t xml:space="preserve">ΑΛΦΑ ΦΙΑΛΗ 24/330ml </t>
  </si>
  <si>
    <t>MYTHOS ΦΙΑΛΓ 24/330ml</t>
  </si>
  <si>
    <t>330ml ΦΙΑΛΗ (A/Ζ)</t>
  </si>
  <si>
    <t>ΞΗΡΟΙ ΚΑΡΠΟΙ &amp; ΜΕΛΙ</t>
  </si>
  <si>
    <t xml:space="preserve">ΜΕΛΕΚΟΥΝΙ ΠΓΕ 30g </t>
  </si>
  <si>
    <t>RodoMel</t>
  </si>
  <si>
    <t>ΜΕΛΙ ΑΝΘΕΩΝ LUX 40gr ΕΛΛΑΔΑΣ 54τεμ</t>
  </si>
  <si>
    <t>Μελισσοκομική Δωδεκανήσου</t>
  </si>
  <si>
    <t>ΤΖΩΡΤΖΗΣ ΞΗΡΟΙ ΚΑΡΠΟΙ</t>
  </si>
  <si>
    <t>ΣΟΚΟΛΑΤΕΝΙΑ ΚΕΡΑΣΜΑΤΑ</t>
  </si>
  <si>
    <t>ΤΙΓΚΕΡ NUTS ΟΛΛΑΝΔΙΑΣ</t>
  </si>
  <si>
    <t>ΚΡΟΚΕΡΙΝΟ SNACK</t>
  </si>
  <si>
    <t>ΚΑΡΥΔΟΨΥΧΑ 1/2</t>
  </si>
  <si>
    <t>ΚΕΛΥΦΩΤΟ ΦΥΣΤΚΙ ΕΛΛΗΝΙΚΟ ΨΗΜΕΝΟ</t>
  </si>
  <si>
    <t>ΧΟΥΡΜΑΔΕΣ ΣΥΣ/ΝΟΙ 400g</t>
  </si>
  <si>
    <t>ΚΑΣΙΟΥΣ ΨΗΜΕΝΟ ΕΣΑΓ. ΧΥΜΑ</t>
  </si>
  <si>
    <t>ΚΡΑΚΕΡ ΡΑΙΣ ΠΙΚΑΝΤΙΚΑ</t>
  </si>
  <si>
    <t>ΚΡΑΚΕΡΣ ΚΟΚΤΕΙΛ ΜΙΧ 1.5ΚΙΛ</t>
  </si>
  <si>
    <t>ΚΕΡΑΣΙ ΣΤΕΓΝΟ 250gr</t>
  </si>
  <si>
    <t>ΚΑΡΑΜΕΛΟΜΕΝΑ ΦΥΣΤΙΚΙΑ ΜΕ ΣΙΣΑΜΙ</t>
  </si>
  <si>
    <t>ΚΑΡΥΔΟΨΥΧΑ 1/4</t>
  </si>
  <si>
    <t>ΛΟΥΚΟΥΜΙ ΧΥΜΑ ΔΙΑΦΟΡΑ ΛΑΜΙΑΣ</t>
  </si>
  <si>
    <t>49.92 ΣΥΝ</t>
  </si>
  <si>
    <t>51.32 ΣΥΝ</t>
  </si>
  <si>
    <t>ΤΔΑ-Α-180714</t>
  </si>
  <si>
    <t>BARON ΓΑΛΑ 1,5% HOT &amp; COLD 1LT ΤΥΡΑΣ</t>
  </si>
  <si>
    <t>ΚΟΖΑΣ</t>
  </si>
  <si>
    <t>ΤΔΑ-Ε-38310</t>
  </si>
  <si>
    <t>ΑΥΓΑ MEDIUM ΚΑΡΤΕΛΑ 30 ΤΕΜΑΧΙΩΝ</t>
  </si>
  <si>
    <t>ΔΩΔΩΝΗ ΓΙΑΟΥΡΤΙ ΣΤΡΑΓΓΙΣΤΟ 8% 3Χ200GR</t>
  </si>
  <si>
    <t>ΑΛΛΟ</t>
  </si>
  <si>
    <t>ΤΔΑ-Β-170844</t>
  </si>
  <si>
    <t>ΓΑΛΟΠΟΥΛΑ SNACK ΣΕ ΦΕΤΕΣ ΚΑΠΝΙΣΤΗ 'ΘΡΑΚΗΣ ΓΕΥΣΕΙΣ'</t>
  </si>
  <si>
    <t>ΩΜΟΠΛΑΤΗ ΧΟΙΡΙΝΗ ΣΕ ΦΕΤΕΣ ΚΑΠΝΙΣΤΗ 'ΘΡΑΚΗΣ ΓΕΥΣΕΙΣ'</t>
  </si>
  <si>
    <t>ΓΚΟΥΝΤΑ ΣΕ ΦΕΤΕΣ KEISER ΣΥΣΚΕΥΑΣΜΕΝΟ</t>
  </si>
  <si>
    <t>ΦΟΡΜΑ ΤΟΣΤ KING ΛΕΥΚΟ 1.290GR 15Χ15 CM ΒΕΝΕΤΗΣ</t>
  </si>
  <si>
    <t>ΤΔΑ-Β-170547</t>
  </si>
  <si>
    <t>ΗΛΙΕΛΑΙΟ 10LT PET</t>
  </si>
  <si>
    <t>ΒΟΥΤΥΡΟ LUPARK ΣΚΑΦΑΚΙ 10GR</t>
  </si>
  <si>
    <t>ΞΥΔΙ ΒΑΛΣΑΜΙΚΟ ΚΑΡΑΜ/ΝΟ ΜΑΥΡΟ ΦΙΑΛΗ 0.500GR</t>
  </si>
  <si>
    <t>ΜΕΛΙ ΑΝΘΕΩΝ ΔΟΧΕΙΟ 3KGR ΧΩΡΑ ΣΥΓΚ/ΔΗΣ ΕΛΛΑΔΑ</t>
  </si>
  <si>
    <t>ΠΡΑΛΙΝΑ ΦΟΥΝΤΟΥΚΙ 1KGR</t>
  </si>
  <si>
    <t>ΓΙΑΟΥΡΤΙ ΣΤΡΑΓΓΙΣΤΟ 5% 3Χ200GR ΟΛΥΜΠΟΣ</t>
  </si>
  <si>
    <t>ΜΠΕΙΚΟΝ ΘΡΑΚΗΣ ΚΑΠΝΙΣΤΟ ΣΕ ΦΕΤΕΣ</t>
  </si>
  <si>
    <t>ΤΔΑ-Ε-37421</t>
  </si>
  <si>
    <t>ΣΕΤ</t>
  </si>
  <si>
    <t>ΔΟΧ</t>
  </si>
  <si>
    <t>ΤΔΑ-Ε-37666</t>
  </si>
  <si>
    <t>ΤΔΑ-240255</t>
  </si>
  <si>
    <t>ΤΔΑ-Ε-36839</t>
  </si>
  <si>
    <t>ΣΑΛΑΜΙ ΑΕΡΟΣ ΣΕ ΦΕΤΕΣ 'ΘΡΑΚΗΣ ΓΕΥΣΕΙΣ'</t>
  </si>
  <si>
    <t>ΠΡΟΣΙΟΥΤΟ ΣΕ ΦΕΤΕΣ 500GR ΙΤΑΛΙΑΣ</t>
  </si>
  <si>
    <t>ΓΑΛΟΠΟΥΛΑ ΦΙΛΕΤΟ ΟΒΑΛ ΣΕ ΦΕΤΕΣ ΚΑΠΝ.BREAKFAST</t>
  </si>
  <si>
    <t>ΓΡΑΒΙΕΡΑ ΠΡΟΒΕΙΑ VACUM 250GR ΟΛΥΜΠΟΣ</t>
  </si>
  <si>
    <t>ΚΕΦΑΛΟΤΥΡΙ ΑΙΓΟΠΡΟΒΕΙΟ 250GR ΟΛΥΜΠΟΣ</t>
  </si>
  <si>
    <t>ΤΔΑ-Α-176775</t>
  </si>
  <si>
    <t>ΜΑΝΙΤΑΡΙΑ ΤΕΜΑΧΙΣΜΕΝΑ 400GR</t>
  </si>
  <si>
    <t>ΤΔΑ-Α-179626</t>
  </si>
  <si>
    <t>ΤΔΑ-Ε-36960</t>
  </si>
  <si>
    <t>ΚΑΡΥΔΟΨΥΧΑ 1/4 1Χ 12.50 KGR</t>
  </si>
  <si>
    <t>ΤΔΑ-Β-169826</t>
  </si>
  <si>
    <t xml:space="preserve">ΤΥΡΙ BLUE CHEESE ΤΡΙΓΩΝΑ 250GR </t>
  </si>
  <si>
    <t>ΛΑΔΟΠΙΤΑ ΡΟΔ. TRICOLORE ΤΡΙΓΩΝΑ ΠΑΚΕΤΟ 150GR</t>
  </si>
  <si>
    <t>ΤΥΡΙ ΡΕΓΚΑΤΟ VACUM 250GR</t>
  </si>
  <si>
    <t>ΠΑΤΕ ΜΑΥΡΗΣ ΕΛΙΑΣ ΚΟΥΤΙ ΜΕΤΑΛΙΚΟ 1KGR</t>
  </si>
  <si>
    <t>ΣΟΛΩΜΟΣ PREMIUM ΚΑΠΝΙΣΤΟΣ SALMONE 1KG</t>
  </si>
  <si>
    <t>ΤΔΑ-Α-177016</t>
  </si>
  <si>
    <t>ΤΔΑ-Ε-36005</t>
  </si>
  <si>
    <t>ΦΕΤΑ ΤΥΡΑΣ 400GR</t>
  </si>
  <si>
    <t>ΤΔΑ-Ε-36100</t>
  </si>
  <si>
    <t>ΦΕΤΑ ΒΟΓΙΑΤΖΗ Π.Ο.Π ΜΕΡΙΔΕΣ</t>
  </si>
  <si>
    <t>ΣΕΤ ΔΩΡΟΥ ΠΡΟΙΟΝΤΑ ΚΥΨΕΛΗΣ</t>
  </si>
  <si>
    <t>ΕΧΤΡΑ</t>
  </si>
  <si>
    <t>ΤΔΑ-239164</t>
  </si>
  <si>
    <t>ΤΔΑ-Ε-36190</t>
  </si>
  <si>
    <t>ΤΔΑ-238848</t>
  </si>
  <si>
    <t>ΤΔΑ-Α-179181</t>
  </si>
  <si>
    <t>ΤΔΑ-Ε-37787</t>
  </si>
  <si>
    <t>ΤΔΑ-Α-180329</t>
  </si>
  <si>
    <t>ZETA</t>
  </si>
  <si>
    <t>CLEANING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</si>
</sst>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XDR&quot;_-;\-* #,##0.00\ &quot;XDR&quot;_-;_-* &quot;-&quot;??\ &quot;XDR&quot;_-;_-@_-"/>
    <numFmt numFmtId="164" formatCode="_-[$€-2]\ * #,##0.00_-;\-[$€-2]\ * #,##0.00_-;_-[$€-2]\ * &quot;-&quot;??_-;_-@_-"/>
    <numFmt numFmtId="165" formatCode="_-[$€-2]\ * #,##0.000_-;\-[$€-2]\ * #,##0.000_-;_-[$€-2]\ * &quot;-&quot;?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20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DB41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5">
    <xf numFmtId="0" fontId="0" fillId="0" borderId="0" xfId="0"/>
    <xf numFmtId="164" fontId="1" fillId="0" borderId="0" xfId="1" applyNumberFormat="1" applyFont="1" applyBorder="1"/>
    <xf numFmtId="164" fontId="3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9" fontId="3" fillId="0" borderId="0" xfId="2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2" fillId="0" borderId="0" xfId="0" applyFont="1" applyAlignment="1">
      <alignment vertical="center" readingOrder="1"/>
    </xf>
    <xf numFmtId="164" fontId="3" fillId="0" borderId="0" xfId="1" applyNumberFormat="1" applyFont="1" applyBorder="1" applyAlignment="1">
      <alignment vertical="center"/>
    </xf>
    <xf numFmtId="0" fontId="4" fillId="0" borderId="0" xfId="0" applyFont="1" applyAlignment="1">
      <alignment vertical="center"/>
    </xf>
    <xf numFmtId="164" fontId="4" fillId="0" borderId="0" xfId="1" applyNumberFormat="1" applyFont="1" applyAlignment="1">
      <alignment vertical="center"/>
    </xf>
    <xf numFmtId="9" fontId="4" fillId="0" borderId="0" xfId="2" applyFont="1" applyAlignment="1">
      <alignment vertical="center"/>
    </xf>
    <xf numFmtId="164" fontId="1" fillId="0" borderId="0" xfId="1" applyNumberFormat="1" applyFont="1"/>
    <xf numFmtId="14" fontId="3" fillId="0" borderId="0" xfId="0" applyNumberFormat="1" applyFont="1" applyAlignment="1">
      <alignment vertical="center"/>
    </xf>
    <xf numFmtId="164" fontId="3" fillId="0" borderId="0" xfId="2" applyNumberFormat="1" applyFont="1" applyAlignment="1">
      <alignment vertical="center"/>
    </xf>
    <xf numFmtId="164" fontId="4" fillId="0" borderId="0" xfId="2" applyNumberFormat="1" applyFont="1" applyAlignment="1">
      <alignment vertical="center"/>
    </xf>
    <xf numFmtId="0" fontId="3" fillId="0" borderId="0" xfId="1" applyNumberFormat="1" applyFont="1" applyAlignment="1">
      <alignment vertical="center"/>
    </xf>
    <xf numFmtId="0" fontId="3" fillId="0" borderId="0" xfId="0" applyFont="1"/>
    <xf numFmtId="9" fontId="3" fillId="0" borderId="0" xfId="2" applyFont="1"/>
    <xf numFmtId="164" fontId="3" fillId="0" borderId="0" xfId="2" applyNumberFormat="1" applyFont="1"/>
    <xf numFmtId="165" fontId="3" fillId="0" borderId="0" xfId="1" applyNumberFormat="1" applyFont="1" applyAlignment="1">
      <alignment vertical="center"/>
    </xf>
    <xf numFmtId="165" fontId="3" fillId="0" borderId="0" xfId="0" applyNumberFormat="1" applyFont="1"/>
    <xf numFmtId="165" fontId="3" fillId="0" borderId="0" xfId="0" applyNumberFormat="1" applyFont="1" applyAlignment="1">
      <alignment vertical="center"/>
    </xf>
    <xf numFmtId="165" fontId="4" fillId="0" borderId="0" xfId="1" applyNumberFormat="1" applyFont="1" applyAlignment="1">
      <alignment vertical="center"/>
    </xf>
    <xf numFmtId="165" fontId="0" fillId="0" borderId="0" xfId="0" applyNumberFormat="1"/>
    <xf numFmtId="0" fontId="3" fillId="7" borderId="0" xfId="0" applyFont="1" applyFill="1"/>
    <xf numFmtId="0" fontId="6" fillId="2" borderId="1" xfId="0" applyFont="1" applyFill="1" applyBorder="1" applyAlignment="1">
      <alignment horizontal="center" vertical="center"/>
    </xf>
    <xf numFmtId="14" fontId="9" fillId="0" borderId="0" xfId="0" applyNumberFormat="1" applyFont="1"/>
    <xf numFmtId="164" fontId="9" fillId="0" borderId="0" xfId="0" applyNumberFormat="1" applyFont="1"/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7" fillId="3" borderId="1" xfId="0" applyFont="1" applyFill="1" applyBorder="1"/>
    <xf numFmtId="0" fontId="7" fillId="3" borderId="4" xfId="0" applyFont="1" applyFill="1" applyBorder="1"/>
    <xf numFmtId="0" fontId="7" fillId="3" borderId="1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164" fontId="9" fillId="0" borderId="0" xfId="1" applyNumberFormat="1" applyFont="1" applyBorder="1"/>
    <xf numFmtId="0" fontId="9" fillId="4" borderId="1" xfId="0" applyFont="1" applyFill="1" applyBorder="1"/>
    <xf numFmtId="164" fontId="9" fillId="5" borderId="1" xfId="1" applyNumberFormat="1" applyFont="1" applyFill="1" applyBorder="1"/>
    <xf numFmtId="0" fontId="7" fillId="9" borderId="1" xfId="0" applyFont="1" applyFill="1" applyBorder="1" applyAlignment="1">
      <alignment horizontal="left" vertical="center"/>
    </xf>
    <xf numFmtId="164" fontId="7" fillId="0" borderId="0" xfId="0" applyNumberFormat="1" applyFont="1"/>
    <xf numFmtId="0" fontId="9" fillId="0" borderId="1" xfId="0" applyFont="1" applyBorder="1"/>
    <xf numFmtId="164" fontId="9" fillId="0" borderId="0" xfId="1" applyNumberFormat="1" applyFont="1"/>
    <xf numFmtId="14" fontId="3" fillId="7" borderId="0" xfId="0" applyNumberFormat="1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3" fillId="7" borderId="0" xfId="1" applyNumberFormat="1" applyFont="1" applyFill="1" applyAlignment="1">
      <alignment vertical="center"/>
    </xf>
    <xf numFmtId="165" fontId="3" fillId="7" borderId="0" xfId="1" applyNumberFormat="1" applyFont="1" applyFill="1" applyAlignment="1">
      <alignment vertical="center"/>
    </xf>
    <xf numFmtId="164" fontId="3" fillId="7" borderId="0" xfId="2" applyNumberFormat="1" applyFont="1" applyFill="1" applyAlignment="1">
      <alignment vertical="center"/>
    </xf>
    <xf numFmtId="9" fontId="3" fillId="7" borderId="0" xfId="2" applyFont="1" applyFill="1" applyAlignment="1">
      <alignment vertical="center"/>
    </xf>
    <xf numFmtId="164" fontId="3" fillId="7" borderId="0" xfId="1" applyNumberFormat="1" applyFont="1" applyFill="1" applyAlignment="1">
      <alignment vertical="center"/>
    </xf>
    <xf numFmtId="14" fontId="3" fillId="0" borderId="0" xfId="0" applyNumberFormat="1" applyFont="1"/>
    <xf numFmtId="164" fontId="3" fillId="0" borderId="0" xfId="0" applyNumberFormat="1" applyFont="1"/>
    <xf numFmtId="1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1" applyNumberFormat="1" applyFont="1" applyBorder="1" applyAlignment="1">
      <alignment vertical="center"/>
    </xf>
    <xf numFmtId="9" fontId="3" fillId="0" borderId="0" xfId="2" applyFont="1" applyBorder="1" applyAlignment="1">
      <alignment vertical="center"/>
    </xf>
    <xf numFmtId="14" fontId="4" fillId="0" borderId="0" xfId="0" applyNumberFormat="1" applyFont="1" applyAlignment="1">
      <alignment vertical="center"/>
    </xf>
    <xf numFmtId="14" fontId="0" fillId="0" borderId="0" xfId="0" applyNumberFormat="1"/>
    <xf numFmtId="164" fontId="0" fillId="0" borderId="0" xfId="0" applyNumberFormat="1"/>
    <xf numFmtId="9" fontId="0" fillId="0" borderId="0" xfId="2" applyFont="1"/>
    <xf numFmtId="0" fontId="1" fillId="0" borderId="0" xfId="1" applyNumberFormat="1" applyFont="1" applyBorder="1"/>
    <xf numFmtId="0" fontId="1" fillId="0" borderId="0" xfId="1" applyNumberFormat="1" applyFont="1"/>
    <xf numFmtId="0" fontId="4" fillId="0" borderId="0" xfId="0" applyNumberFormat="1" applyFont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/>
    <xf numFmtId="165" fontId="3" fillId="0" borderId="0" xfId="1" applyNumberFormat="1" applyFont="1" applyBorder="1" applyAlignment="1">
      <alignment vertical="center"/>
    </xf>
    <xf numFmtId="165" fontId="1" fillId="0" borderId="0" xfId="2" applyNumberFormat="1" applyFont="1" applyBorder="1"/>
    <xf numFmtId="165" fontId="1" fillId="0" borderId="0" xfId="2" applyNumberFormat="1" applyFont="1"/>
    <xf numFmtId="0" fontId="11" fillId="0" borderId="0" xfId="0" applyFont="1" applyAlignment="1">
      <alignment vertical="center"/>
    </xf>
    <xf numFmtId="165" fontId="1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9" fontId="11" fillId="0" borderId="0" xfId="2" applyFont="1" applyAlignment="1">
      <alignment vertical="center"/>
    </xf>
    <xf numFmtId="164" fontId="11" fillId="0" borderId="0" xfId="1" applyNumberFormat="1" applyFont="1" applyAlignment="1">
      <alignment vertical="center"/>
    </xf>
    <xf numFmtId="1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5" fontId="12" fillId="0" borderId="0" xfId="0" applyNumberFormat="1" applyFont="1" applyAlignment="1">
      <alignment vertical="center"/>
    </xf>
    <xf numFmtId="164" fontId="12" fillId="0" borderId="0" xfId="0" applyNumberFormat="1" applyFont="1" applyAlignment="1">
      <alignment vertical="center"/>
    </xf>
    <xf numFmtId="9" fontId="12" fillId="0" borderId="0" xfId="2" applyFont="1" applyAlignment="1">
      <alignment vertical="center"/>
    </xf>
    <xf numFmtId="164" fontId="12" fillId="0" borderId="0" xfId="1" applyNumberFormat="1" applyFont="1" applyAlignment="1">
      <alignment vertical="center"/>
    </xf>
    <xf numFmtId="10" fontId="4" fillId="0" borderId="0" xfId="2" applyNumberFormat="1" applyFont="1" applyAlignment="1">
      <alignment vertical="center"/>
    </xf>
    <xf numFmtId="10" fontId="3" fillId="0" borderId="0" xfId="2" applyNumberFormat="1" applyFont="1" applyAlignment="1">
      <alignment vertical="center"/>
    </xf>
    <xf numFmtId="10" fontId="3" fillId="0" borderId="0" xfId="2" applyNumberFormat="1" applyFont="1"/>
    <xf numFmtId="0" fontId="3" fillId="11" borderId="0" xfId="0" applyFont="1" applyFill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10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7" fillId="5" borderId="1" xfId="0" applyNumberFormat="1" applyFont="1" applyFill="1" applyBorder="1" applyAlignment="1">
      <alignment horizontal="center" vertical="center"/>
    </xf>
    <xf numFmtId="164" fontId="7" fillId="5" borderId="5" xfId="1" applyNumberFormat="1" applyFont="1" applyFill="1" applyBorder="1" applyAlignment="1">
      <alignment horizontal="center" vertical="center"/>
    </xf>
    <xf numFmtId="164" fontId="7" fillId="5" borderId="6" xfId="1" applyNumberFormat="1" applyFont="1" applyFill="1" applyBorder="1" applyAlignment="1">
      <alignment horizontal="center" vertical="center"/>
    </xf>
    <xf numFmtId="164" fontId="7" fillId="5" borderId="4" xfId="1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left" vertical="center"/>
    </xf>
    <xf numFmtId="0" fontId="7" fillId="3" borderId="8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164" fontId="8" fillId="8" borderId="5" xfId="1" applyNumberFormat="1" applyFont="1" applyFill="1" applyBorder="1" applyAlignment="1">
      <alignment horizontal="left" vertical="top"/>
    </xf>
    <xf numFmtId="164" fontId="8" fillId="8" borderId="4" xfId="1" applyNumberFormat="1" applyFont="1" applyFill="1" applyBorder="1" applyAlignment="1">
      <alignment horizontal="left" vertical="top"/>
    </xf>
    <xf numFmtId="0" fontId="7" fillId="3" borderId="5" xfId="0" applyFont="1" applyFill="1" applyBorder="1" applyAlignment="1">
      <alignment horizontal="left" vertical="top"/>
    </xf>
    <xf numFmtId="0" fontId="7" fillId="3" borderId="4" xfId="0" applyFont="1" applyFill="1" applyBorder="1" applyAlignment="1">
      <alignment horizontal="left" vertical="top"/>
    </xf>
    <xf numFmtId="0" fontId="7" fillId="3" borderId="5" xfId="0" applyFont="1" applyFill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horizontal="left" vertical="center"/>
    </xf>
    <xf numFmtId="0" fontId="7" fillId="3" borderId="5" xfId="1" applyNumberFormat="1" applyFont="1" applyFill="1" applyBorder="1" applyAlignment="1">
      <alignment horizontal="left" vertical="center"/>
    </xf>
    <xf numFmtId="0" fontId="7" fillId="6" borderId="5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</cellXfs>
  <cellStyles count="3">
    <cellStyle name="Currency" xfId="1" builtinId="4"/>
    <cellStyle name="Normal" xfId="0" builtinId="0"/>
    <cellStyle name="Per cent" xfId="2" builtinId="5"/>
  </cellStyles>
  <dxfs count="136"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[$€-2]\ * #,##0.000_-;\-[$€-2]\ * #,##0.000_-;_-[$€-2]\ * &quot;-&quot;?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[$€-2]\ * #,##0.000_-;\-[$€-2]\ * #,##0.000_-;_-[$€-2]\ * &quot;-&quot;?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[$€-2]\ * #,##0.000_-;\-[$€-2]\ * #,##0.000_-;_-[$€-2]\ * &quot;-&quot;?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[$€-2]\ * #,##0.000_-;\-[$€-2]\ * #,##0.000_-;_-[$€-2]\ * &quot;-&quot;?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3" formatCode="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[$€-2]\ * #,##0.000_-;\-[$€-2]\ * #,##0.000_-;_-[$€-2]\ * &quot;-&quot;?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[$€-2]\ * #,##0.000_-;\-[$€-2]\ * #,##0.000_-;_-[$€-2]\ * &quot;-&quot;???_-;_-@_-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[$€-2]\ * #,##0.000_-;\-[$€-2]\ * #,##0.000_-;_-[$€-2]\ * &quot;-&quot;???_-;_-@_-"/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0" indent="0" justifyLastLine="0" shrinkToFit="0" readingOrder="1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/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-[$€-2]\ * #,##0.000_-;\-[$€-2]\ * #,##0.000_-;_-[$€-2]\ * &quot;-&quot;???_-;_-@_-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[$€-2]\ * #,##0.00_-;\-[$€-2]\ * #,##0.00_-;_-[$€-2]\ * &quot;-&quot;??_-;_-@_-"/>
      <alignment horizontal="general" vertical="center" textRotation="0" wrapText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[$€-2]\ * #,##0.000_-;\-[$€-2]\ * #,##0.000_-;_-[$€-2]\ * &quot;-&quot;???_-;_-@_-"/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yy"/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/>
    </dxf>
  </dxfs>
  <tableStyles count="0" defaultTableStyle="TableStyleMedium9" defaultPivotStyle="PivotStyleLight16"/>
  <colors>
    <mruColors>
      <color rgb="FFEDB41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E345C3-3320-4A47-8311-D1BE72054718}" name="KAZOULIS" displayName="KAZOULIS" ref="A1:M41" totalsRowShown="0" headerRowDxfId="135" dataDxfId="134">
  <autoFilter ref="A1:M41" xr:uid="{81E345C3-3320-4A47-8311-D1BE72054718}"/>
  <sortState xmlns:xlrd2="http://schemas.microsoft.com/office/spreadsheetml/2017/richdata2" ref="A2:M41">
    <sortCondition descending="1" ref="A1:A41"/>
  </sortState>
  <tableColumns count="13">
    <tableColumn id="1" xr3:uid="{73DDC43C-90D9-4498-8606-C1E5FD01CE5B}" name="Date" dataDxfId="133"/>
    <tableColumn id="8" xr3:uid="{614333D6-C651-4C12-A821-C881ED069813}" name="Invoice ID" dataDxfId="132"/>
    <tableColumn id="2" xr3:uid="{AFFAE499-2CD7-457D-AB2C-6936BCBA7E9D}" name="Product" dataDxfId="131"/>
    <tableColumn id="3" xr3:uid="{10ACF80A-92A1-4E25-B9A0-1C47125A10CE}" name="Description" dataDxfId="130"/>
    <tableColumn id="4" xr3:uid="{3E693C27-EF5D-45C4-9BFA-6BC1AE61365F}" name="UoM" dataDxfId="129"/>
    <tableColumn id="5" xr3:uid="{9D15173A-B36B-4542-A042-B39D6A6E7871}" name="Quantity" dataDxfId="128" dataCellStyle="Currency"/>
    <tableColumn id="10" xr3:uid="{73CFE193-7CDE-4910-B710-C220E712BFDA}" name="Unit Price" dataDxfId="127" dataCellStyle="Currency">
      <calculatedColumnFormula>KAZOULIS[[#This Row],[UoM]]*KAZOULIS[[#This Row],[Quantity]]</calculatedColumnFormula>
    </tableColumn>
    <tableColumn id="6" xr3:uid="{3297ECF8-43DB-4704-BC2F-94F366938AC6}" name="Total" dataDxfId="126">
      <calculatedColumnFormula>KAZOULIS[[#This Row],[Quantity]]*KAZOULIS[[#This Row],[Unit Price]]</calculatedColumnFormula>
    </tableColumn>
    <tableColumn id="11" xr3:uid="{EE1B3498-763C-422D-ACFE-AFC2482E8959}" name="Discount (%)" dataDxfId="125"/>
    <tableColumn id="12" xr3:uid="{E541D54D-4238-402D-92F7-9C584DA2557E}" name="ΕΦΚ" dataDxfId="124"/>
    <tableColumn id="9" xr3:uid="{A8D90724-72F2-468E-B904-C64B93B7210F}" name="TAX (%)" dataDxfId="123"/>
    <tableColumn id="7" xr3:uid="{FD77A179-C7A8-4CEA-B996-71354AB9B67A}" name="Net Cost" dataDxfId="122" dataCellStyle="Currency">
      <calculatedColumnFormula>(KAZOULIS[[#This Row],[Total]] * (1 - KAZOULIS[[#This Row],[Discount (%)]]) + KAZOULIS[[#This Row],[ΕΦΚ]]) * (1 + KAZOULIS[[#This Row],[TAX (%)]])</calculatedColumnFormula>
    </tableColumn>
    <tableColumn id="13" xr3:uid="{0B46A121-53D7-4705-84B3-D8EFA01E40E8}" name="NOTES" dataDxfId="121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806A4B73-4135-4A92-A110-F33076A56CB8}" name="Table64" displayName="Table64" ref="A1:M56" totalsRowShown="0" headerRowDxfId="120" dataDxfId="119">
  <autoFilter ref="A1:M56" xr:uid="{806A4B73-4135-4A92-A110-F33076A56CB8}"/>
  <sortState xmlns:xlrd2="http://schemas.microsoft.com/office/spreadsheetml/2017/richdata2" ref="A2:M56">
    <sortCondition descending="1" ref="A1:A56"/>
  </sortState>
  <tableColumns count="13">
    <tableColumn id="1" xr3:uid="{F5BE69BE-4AE5-4A6A-B25A-232C9E0E8169}" name="Date" dataDxfId="118"/>
    <tableColumn id="2" xr3:uid="{DEBDD542-2E96-46C7-A576-91BB1366497A}" name="Invoice ID " dataDxfId="117"/>
    <tableColumn id="3" xr3:uid="{71457080-4B72-4C07-B759-066952EBDB02}" name="Product" dataDxfId="116"/>
    <tableColumn id="4" xr3:uid="{D9B413E1-C380-44EE-BA61-C65B146C3819}" name="Description" dataDxfId="115"/>
    <tableColumn id="5" xr3:uid="{FB5CE392-CD47-4EB3-8166-F9193800C0D8}" name="UoM" dataDxfId="114"/>
    <tableColumn id="6" xr3:uid="{52AF8408-BCBA-44D3-BE96-13D55F15DB38}" name="Quantity" dataDxfId="113"/>
    <tableColumn id="7" xr3:uid="{66E0CB68-775C-4542-B692-99C0AEC7CDA4}" name="Unit Price" dataDxfId="112"/>
    <tableColumn id="12" xr3:uid="{2AB2926B-E72F-4749-B359-781C34E40E3F}" name="Total" dataDxfId="111">
      <calculatedColumnFormula>Table64[[#This Row],[Quantity]]*Table64[[#This Row],[Unit Price]]</calculatedColumnFormula>
    </tableColumn>
    <tableColumn id="8" xr3:uid="{EF9718F9-537E-4285-BFFE-A48294DE0D34}" name="Discount (%)" dataDxfId="110"/>
    <tableColumn id="9" xr3:uid="{951902F3-F7D4-42E5-BE04-7D12B0B74B2E}" name="ΕΦΚ" dataDxfId="109"/>
    <tableColumn id="10" xr3:uid="{834132B1-96BE-47BB-A7AE-F83E53157E2D}" name="TAX (%)" dataDxfId="108"/>
    <tableColumn id="11" xr3:uid="{7F56D855-049A-4245-8165-53F5A2C44543}" name="Net Cost" dataDxfId="107" dataCellStyle="Currency">
      <calculatedColumnFormula>(Table64[[#This Row],[Total]] * (1 - Table64[[#This Row],[Discount (%)]]) + Table64[[#This Row],[ΕΦΚ]]) * (1 + Table64[[#This Row],[TAX (%)]])</calculatedColumnFormula>
    </tableColumn>
    <tableColumn id="13" xr3:uid="{B155433F-2614-4557-A428-13BB32234B0F}" name="NOTES" dataDxfId="10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EBA19827-B479-4FFD-855B-A0535681336C}" name="CHRISTODOULIDES" displayName="CHRISTODOULIDES" ref="A1:M84" totalsRowShown="0" headerRowDxfId="105" dataDxfId="104">
  <autoFilter ref="A1:M84" xr:uid="{EBA19827-B479-4FFD-855B-A0535681336C}"/>
  <sortState xmlns:xlrd2="http://schemas.microsoft.com/office/spreadsheetml/2017/richdata2" ref="A2:M84">
    <sortCondition descending="1" ref="A1:A84"/>
  </sortState>
  <tableColumns count="13">
    <tableColumn id="2" xr3:uid="{A19E101C-2361-4027-8176-A0FB07F9CCA9}" name="Date" dataDxfId="103"/>
    <tableColumn id="3" xr3:uid="{E2B5441E-2B68-4F90-9072-4DCF4671A68F}" name="Invoice ID" dataDxfId="102"/>
    <tableColumn id="1" xr3:uid="{3F0DDFE1-1F3F-424E-9769-4FB18FC9889F}" name="Product" dataDxfId="101"/>
    <tableColumn id="8" xr3:uid="{26685AAA-A8F3-4B66-B617-E9CA77C49B53}" name="Description" dataDxfId="100"/>
    <tableColumn id="11" xr3:uid="{34DFCE94-14F9-4DC7-A168-07715EF1E3C2}" name="UoM" dataDxfId="99"/>
    <tableColumn id="4" xr3:uid="{1062B390-E9BC-4A22-AD37-2842843D18E6}" name="Quantity" dataDxfId="98"/>
    <tableColumn id="5" xr3:uid="{8A9EBCD2-01DB-499C-8ABE-0BEFDD4C4E70}" name="Unit Price" dataDxfId="97" dataCellStyle="Currency"/>
    <tableColumn id="10" xr3:uid="{3D847D6A-A49C-437C-9A53-DB142C9F344E}" name="Total" dataDxfId="96" dataCellStyle="Currency">
      <calculatedColumnFormula>CHRISTODOULIDES[[#This Row],[Quantity]]*CHRISTODOULIDES[[#This Row],[Unit Price]]</calculatedColumnFormula>
    </tableColumn>
    <tableColumn id="6" xr3:uid="{0E7FBDA9-219A-4414-9B8E-26E14394B108}" name="Discount (%)" dataDxfId="95">
      <calculatedColumnFormula>CHRISTODOULIDES[[#This Row],[Quantity]]*CHRISTODOULIDES[[#This Row],[Unit Price]]</calculatedColumnFormula>
    </tableColumn>
    <tableColumn id="12" xr3:uid="{38C34BB2-24C4-4BFE-A6FB-35175F9745E3}" name="ΕΦΚ" dataDxfId="94"/>
    <tableColumn id="9" xr3:uid="{7AE4ED58-BE9B-4CD8-BF2F-A597EFA710AF}" name="TAX (%)" dataDxfId="93"/>
    <tableColumn id="7" xr3:uid="{1C42FAAC-F60F-40D4-A261-A57D263DE63C}" name="Net Cost" dataDxfId="92" dataCellStyle="Currency">
      <calculatedColumnFormula>(CHRISTODOULIDES[[#This Row],[Total]] * (1 - CHRISTODOULIDES[[#This Row],[Discount (%)]]) + CHRISTODOULIDES[[#This Row],[ΕΦΚ]]) * (1 + CHRISTODOULIDES[[#This Row],[TAX (%)]])</calculatedColumnFormula>
    </tableColumn>
    <tableColumn id="13" xr3:uid="{DA8B4B0A-CF77-429B-902A-E69B5057FAD3}" name="NOTES" dataDxfId="91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E23D7B-C503-4E05-9E0D-FCEB3D7ADB63}" name="Table510133233672" displayName="Table510133233672" ref="A1:M89" totalsRowShown="0" headerRowDxfId="90" dataDxfId="89">
  <autoFilter ref="A1:M89" xr:uid="{E0496276-6DFD-4768-A7C1-FB0A7F1ECB04}"/>
  <sortState xmlns:xlrd2="http://schemas.microsoft.com/office/spreadsheetml/2017/richdata2" ref="A2:M89">
    <sortCondition descending="1" ref="A1:A89"/>
  </sortState>
  <tableColumns count="13">
    <tableColumn id="2" xr3:uid="{357AA8D6-FBE8-48E9-8A2D-AD2F48A17CBA}" name="Date" dataDxfId="88"/>
    <tableColumn id="3" xr3:uid="{E38CAD16-CEE7-422B-85DA-5679BB1BA851}" name="Invoice ID" dataDxfId="87"/>
    <tableColumn id="1" xr3:uid="{89F59EDB-D514-4B67-A721-2FD73E83F41B}" name="Product" dataDxfId="86"/>
    <tableColumn id="8" xr3:uid="{CC315854-A37C-4695-B9DE-F9983C661B49}" name="Description" dataDxfId="85"/>
    <tableColumn id="11" xr3:uid="{1F17743F-F105-4473-BC6F-49022CAF674F}" name="UoM" dataDxfId="84"/>
    <tableColumn id="4" xr3:uid="{97ACFB71-9DA5-485B-A832-F219ADCFA86A}" name="Quantity" dataDxfId="83"/>
    <tableColumn id="5" xr3:uid="{AF3BE647-8C6A-40E4-9E31-FAE32BDB824F}" name="Unit Price" dataDxfId="82" dataCellStyle="Currency"/>
    <tableColumn id="10" xr3:uid="{37F0C034-A541-4CF1-8AC4-E6B6AD87EDEA}" name="Total" dataDxfId="81" dataCellStyle="Currency">
      <calculatedColumnFormula>Table510133233672[[#This Row],[Quantity]]*Table510133233672[[#This Row],[Unit Price]]</calculatedColumnFormula>
    </tableColumn>
    <tableColumn id="6" xr3:uid="{1BE804AA-8EE1-4F90-9B4B-7926C7D61BBB}" name="Discount (%)" dataDxfId="80"/>
    <tableColumn id="9" xr3:uid="{CF3AEE54-2BD7-4743-9761-C43FDEC1B334}" name="ΕΦΚ" dataDxfId="79"/>
    <tableColumn id="7" xr3:uid="{7F2B36E0-D10F-44E7-968D-8E6A12C8CB1D}" name="TAX (%)" dataDxfId="78"/>
    <tableColumn id="12" xr3:uid="{E0CF17FB-37AE-4954-B461-184360D1DC0B}" name="Net Cost" dataDxfId="77" dataCellStyle="Currency">
      <calculatedColumnFormula>(Table510133233672[[#This Row],[Total]] * (1 - Table510133233672[[#This Row],[Discount (%)]]) + Table510133233672[[#This Row],[ΕΦΚ]]) * (1 + Table510133233672[[#This Row],[TAX (%)]])</calculatedColumnFormula>
    </tableColumn>
    <tableColumn id="13" xr3:uid="{A6ABF051-DE7E-40A5-AA7A-A2E01BE3A94C}" name="NOTES" dataDxfId="76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2970E99-03A0-479B-8837-C0F7D8EF8EE8}" name="Table5101332337071" displayName="Table5101332337071" ref="A1:M137" totalsRowShown="0" headerRowDxfId="75" dataDxfId="74">
  <autoFilter ref="A1:M137" xr:uid="{02970E99-03A0-479B-8837-C0F7D8EF8EE8}"/>
  <sortState xmlns:xlrd2="http://schemas.microsoft.com/office/spreadsheetml/2017/richdata2" ref="A2:M137">
    <sortCondition descending="1" ref="A1:A137"/>
  </sortState>
  <tableColumns count="13">
    <tableColumn id="2" xr3:uid="{C534CD6E-F986-4821-8930-1130527C5882}" name="Date" dataDxfId="73"/>
    <tableColumn id="3" xr3:uid="{63FF2122-3B6D-44FA-9C03-74910C1AE882}" name="Invoice ID" dataDxfId="72"/>
    <tableColumn id="1" xr3:uid="{ACB9FC9B-8991-4A3D-A788-FF8D878C834C}" name="Product" dataDxfId="71"/>
    <tableColumn id="8" xr3:uid="{94DB3DCE-ED3D-49B5-9104-35E0D29E0445}" name="Description" dataDxfId="70"/>
    <tableColumn id="11" xr3:uid="{DB250D00-D15F-43B1-AD9D-F5F67D0A9437}" name="UoM" dataDxfId="69"/>
    <tableColumn id="4" xr3:uid="{8B7BD79A-95BC-4498-AAAB-38B544900F15}" name="Quantity" dataDxfId="68"/>
    <tableColumn id="5" xr3:uid="{C00740E4-F984-4028-91F7-56851A85B2C3}" name="Unit Price" dataDxfId="67" dataCellStyle="Currency"/>
    <tableColumn id="10" xr3:uid="{42CC0B4B-4011-4EEE-86ED-10FCC472DE69}" name="Total" dataDxfId="66" dataCellStyle="Currency">
      <calculatedColumnFormula>Table5101332337071[[#This Row],[Quantity]]*Table5101332337071[[#This Row],[Unit Price]]</calculatedColumnFormula>
    </tableColumn>
    <tableColumn id="6" xr3:uid="{12FF2450-97A3-43F9-B92C-99A13194D123}" name="Discount (%)" dataDxfId="65"/>
    <tableColumn id="9" xr3:uid="{6D0D8614-2850-4348-AAEC-05112B9087D8}" name="ΕΦΚ" dataDxfId="64"/>
    <tableColumn id="7" xr3:uid="{0C761DDB-A6A5-4A6C-AC94-A6FDF59983D8}" name="TAX (%)" dataDxfId="63"/>
    <tableColumn id="12" xr3:uid="{516CFC3D-5B7F-43EC-A4FD-5F6337A45829}" name="Net Cost" dataDxfId="62" dataCellStyle="Currency">
      <calculatedColumnFormula>(Table5101332337071[[#This Row],[Total]] * (1 - Table5101332337071[[#This Row],[Discount (%)]]) + Table5101332337071[[#This Row],[ΕΦΚ]]) * (1 + Table5101332337071[[#This Row],[TAX (%)]])</calculatedColumnFormula>
    </tableColumn>
    <tableColumn id="13" xr3:uid="{BED6FCFB-A1D1-47CB-B104-23DE3CD00AAD}" name="NOTES" dataDxfId="61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A7E2813D-4DBB-4AED-91EA-5AD25C69D749}" name="Table5101332337072" displayName="Table5101332337072" ref="A1:M71" totalsRowShown="0" headerRowDxfId="60" dataDxfId="59">
  <autoFilter ref="A1:M71" xr:uid="{A7E2813D-4DBB-4AED-91EA-5AD25C69D749}"/>
  <sortState xmlns:xlrd2="http://schemas.microsoft.com/office/spreadsheetml/2017/richdata2" ref="A2:M71">
    <sortCondition descending="1" ref="A1:A71"/>
  </sortState>
  <tableColumns count="13">
    <tableColumn id="2" xr3:uid="{72BB8363-8567-4911-A168-E6CB8C469DA9}" name="Date" dataDxfId="58"/>
    <tableColumn id="3" xr3:uid="{928D446D-EB8C-4C8D-951A-E590A2E133AB}" name="Invoice ID" dataDxfId="57"/>
    <tableColumn id="1" xr3:uid="{40040096-DCA7-40B5-8ED3-A7B787510306}" name="Product" dataDxfId="56"/>
    <tableColumn id="8" xr3:uid="{A9E1446C-0A84-4A7C-AD42-C92F58F17069}" name="Description" dataDxfId="55"/>
    <tableColumn id="11" xr3:uid="{F6FEAF2D-321C-463B-A3FE-3C9F573B0998}" name="UoM" dataDxfId="54"/>
    <tableColumn id="4" xr3:uid="{BE724ABF-F611-4F1D-BB06-0CBED8A8374F}" name="Quantity" dataDxfId="53"/>
    <tableColumn id="5" xr3:uid="{E9E54CB2-D2C4-4620-A99F-7CF0EDD818EA}" name="Unit Price" dataDxfId="52" dataCellStyle="Currency"/>
    <tableColumn id="10" xr3:uid="{7265363C-1037-447C-99D3-B7F7E8F6A1A0}" name="Total" dataDxfId="51" dataCellStyle="Currency">
      <calculatedColumnFormula>Table5101332337072[[#This Row],[Quantity]]*Table5101332337072[[#This Row],[Unit Price]]</calculatedColumnFormula>
    </tableColumn>
    <tableColumn id="6" xr3:uid="{5B6231B1-C196-4203-A8F5-DB6824FE970E}" name="Discount (%)" dataDxfId="50"/>
    <tableColumn id="9" xr3:uid="{56CDCD7A-2438-4885-88FC-767248BB67AA}" name="ΕΦΚ" dataDxfId="49"/>
    <tableColumn id="7" xr3:uid="{837DA461-4F60-4AC4-B4B8-B5513B45449A}" name="TAX (%)" dataDxfId="48"/>
    <tableColumn id="12" xr3:uid="{3D7070A4-071C-4C8B-B4A3-CC4870BD5AFF}" name="Net Cost" dataDxfId="47" dataCellStyle="Currency">
      <calculatedColumnFormula>(Table5101332337072[[#This Row],[Total]] * (1 - Table5101332337072[[#This Row],[Discount (%)]]) + Table5101332337072[[#This Row],[ΕΦΚ]]) * (1 + Table5101332337072[[#This Row],[TAX (%)]])</calculatedColumnFormula>
    </tableColumn>
    <tableColumn id="13" xr3:uid="{53D3325E-2D5F-4715-A13A-5C781DA48A68}" name="NOTES" dataDxfId="46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98E28FE2-2BA7-440F-92E7-AA435E90118F}" name="Table5101332337073" displayName="Table5101332337073" ref="A1:N23" totalsRowShown="0" headerRowDxfId="45" dataDxfId="44">
  <autoFilter ref="A1:N23" xr:uid="{98E28FE2-2BA7-440F-92E7-AA435E90118F}"/>
  <sortState xmlns:xlrd2="http://schemas.microsoft.com/office/spreadsheetml/2017/richdata2" ref="A2:N23">
    <sortCondition descending="1" ref="A1:A23"/>
  </sortState>
  <tableColumns count="14">
    <tableColumn id="2" xr3:uid="{63F61B2F-416E-4D3D-B2BB-C4E6927B84F2}" name="Date" dataDxfId="43"/>
    <tableColumn id="3" xr3:uid="{ACD7A2F5-204D-40BE-ABED-4495D803D74D}" name="Invoice ID" dataDxfId="42"/>
    <tableColumn id="1" xr3:uid="{ED3489C4-864D-4D27-861C-821403D3B820}" name="Product" dataDxfId="41"/>
    <tableColumn id="8" xr3:uid="{A63E843C-A96B-42D2-8A8A-CA70B2F26913}" name="Description" dataDxfId="40"/>
    <tableColumn id="11" xr3:uid="{B500644C-DF3D-42F8-A663-1385096C009E}" name="UoM" dataDxfId="39"/>
    <tableColumn id="4" xr3:uid="{23FFAC49-F4F1-4E88-BE55-5DDA406D7D37}" name="Quantity" dataDxfId="38"/>
    <tableColumn id="5" xr3:uid="{5A20639C-E29E-4F16-ABE3-44A2B5FCD56B}" name="Unit Price" dataDxfId="37" dataCellStyle="Currency"/>
    <tableColumn id="10" xr3:uid="{26873703-13BD-468E-A3F1-32A81C6002C3}" name="Total" dataDxfId="36" dataCellStyle="Currency">
      <calculatedColumnFormula>Table5101332337073[[#This Row],[Quantity]]*Table5101332337073[[#This Row],[Unit Price]]</calculatedColumnFormula>
    </tableColumn>
    <tableColumn id="6" xr3:uid="{F8ED57FF-141D-4E50-AE3B-8FF47CC85F4D}" name="Discount (%)" dataDxfId="35"/>
    <tableColumn id="9" xr3:uid="{19120358-F348-435F-B6BD-397EA1A19A5D}" name="ΕΦΚ" dataDxfId="34"/>
    <tableColumn id="7" xr3:uid="{0A43A963-6220-4800-B89F-1598E51D5EFB}" name="TAX (%)" dataDxfId="33"/>
    <tableColumn id="12" xr3:uid="{674AAB6F-E878-4C93-A1BB-2A12DE716694}" name="Net Cost" dataDxfId="32" dataCellStyle="Currency">
      <calculatedColumnFormula>(Table5101332337073[[#This Row],[Total]] * (1 - Table5101332337073[[#This Row],[Discount (%)]]) + Table5101332337073[[#This Row],[ΕΦΚ]]) * (1 + Table5101332337073[[#This Row],[TAX (%)]])</calculatedColumnFormula>
    </tableColumn>
    <tableColumn id="13" xr3:uid="{6B9AEA4E-AE48-47C0-96EE-2D4B3C533EE5}" name="NOTES" dataDxfId="31"/>
    <tableColumn id="15" xr3:uid="{D33B17C8-CC7E-4247-8F76-7DC6783E8E71}" name="ΕΧΤΡΑ" dataDxfId="30"/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FDAE68A-08F8-4ABF-923B-3837D21D90B4}" name="Table510133233" displayName="Table510133233" ref="A1:M27" totalsRowShown="0" headerRowDxfId="29" dataDxfId="28">
  <autoFilter ref="A1:M27" xr:uid="{EFDAE68A-08F8-4ABF-923B-3837D21D90B4}"/>
  <sortState xmlns:xlrd2="http://schemas.microsoft.com/office/spreadsheetml/2017/richdata2" ref="A2:M27">
    <sortCondition descending="1" ref="A1:A27"/>
  </sortState>
  <tableColumns count="13">
    <tableColumn id="2" xr3:uid="{4299B40A-8485-48CA-B901-13418C19948F}" name="Date" dataDxfId="27"/>
    <tableColumn id="3" xr3:uid="{03230619-38B4-404F-B807-142D5F1A3082}" name="Invoice ID" dataDxfId="26"/>
    <tableColumn id="1" xr3:uid="{F8B8C199-2565-4922-AD91-1CE168896DCA}" name="Product" dataDxfId="25"/>
    <tableColumn id="8" xr3:uid="{ECAFCB52-88CE-4375-BB4B-8BBC19C676DE}" name="Description" dataDxfId="24"/>
    <tableColumn id="11" xr3:uid="{881CE383-8CFC-4062-BB6C-17F0AD04A311}" name="UoM" dataDxfId="23"/>
    <tableColumn id="4" xr3:uid="{6FC8FA4F-DBD1-4F00-92DE-4938873DCAB7}" name="Quantity" dataDxfId="22"/>
    <tableColumn id="5" xr3:uid="{724DD4B9-B47E-4900-810A-C6AB8D4D5E0E}" name="Unit Price" dataDxfId="21" dataCellStyle="Currency"/>
    <tableColumn id="10" xr3:uid="{7C62C34E-6752-42FC-AE5F-2AF71C72AD69}" name="Total" dataDxfId="20" dataCellStyle="Currency">
      <calculatedColumnFormula>Table510133233[[#This Row],[Quantity]]*Table510133233[[#This Row],[Unit Price]]</calculatedColumnFormula>
    </tableColumn>
    <tableColumn id="6" xr3:uid="{51317368-FFF2-4AE7-9323-9D1238F6A497}" name="Discount (%)" dataDxfId="19"/>
    <tableColumn id="9" xr3:uid="{9B9D56C2-4FF2-4160-A84A-90D76D3E0C51}" name="ΕΦΚ" dataDxfId="18"/>
    <tableColumn id="7" xr3:uid="{03CC99C3-493A-4426-967E-504125563994}" name="TAX (%)" dataDxfId="17"/>
    <tableColumn id="12" xr3:uid="{6C0DA3F5-02EC-4DEB-875C-DC048DBEA4BA}" name="Net Cost" dataDxfId="16" dataCellStyle="Currency">
      <calculatedColumnFormula>(Table510133233[[#This Row],[Total]] * (1 - Table510133233[[#This Row],[Discount (%)]]) + Table510133233[[#This Row],[ΕΦΚ]]) * (1 + Table510133233[[#This Row],[TAX (%)]])</calculatedColumnFormula>
    </tableColumn>
    <tableColumn id="13" xr3:uid="{3E4B8569-6C7D-455D-8EF8-FA59D965C8D6}" name="NOTES" dataDxfId="15"/>
  </tableColumns>
  <tableStyleInfo name="TableStyleMedium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7821CFC1-C7A9-4503-BEA6-052E8A1480C5}" name="Table51013323370" displayName="Table51013323370" ref="A1:M12" totalsRowShown="0" headerRowDxfId="14" dataDxfId="13">
  <autoFilter ref="A1:M12" xr:uid="{7821CFC1-C7A9-4503-BEA6-052E8A1480C5}"/>
  <sortState xmlns:xlrd2="http://schemas.microsoft.com/office/spreadsheetml/2017/richdata2" ref="A2:M5">
    <sortCondition descending="1" ref="A1:A5"/>
  </sortState>
  <tableColumns count="13">
    <tableColumn id="2" xr3:uid="{67CC684F-12BD-40D5-A1BC-716C71C8876E}" name="Date" dataDxfId="12"/>
    <tableColumn id="3" xr3:uid="{F3E6DB13-56C8-4710-B7D4-FC6EEFD0F07E}" name="Invoice ID" dataDxfId="11"/>
    <tableColumn id="1" xr3:uid="{9AF7162B-9A17-40C8-84BE-D373903A715B}" name="Product" dataDxfId="10"/>
    <tableColumn id="8" xr3:uid="{91EE7339-58AB-4419-AFD3-F85DA4EF54BC}" name="Description" dataDxfId="9"/>
    <tableColumn id="11" xr3:uid="{29E61C0C-FDFA-4162-A085-D2775C96F1C3}" name="UoM" dataDxfId="8"/>
    <tableColumn id="4" xr3:uid="{464ABACB-6B97-42F4-AE35-BC5A7F232161}" name="Quantity" dataDxfId="7"/>
    <tableColumn id="5" xr3:uid="{B08D1641-37B9-4833-9189-A7F0A62D3FE1}" name="Unit Price" dataDxfId="6" dataCellStyle="Currency"/>
    <tableColumn id="10" xr3:uid="{8882B71E-5717-4921-8E5E-C4381672D02D}" name="Total" dataDxfId="5" dataCellStyle="Currency">
      <calculatedColumnFormula>Table51013323370[[#This Row],[Quantity]]*Table51013323370[[#This Row],[Unit Price]]</calculatedColumnFormula>
    </tableColumn>
    <tableColumn id="6" xr3:uid="{8520385E-9ABC-4084-B0AE-1C90C7A77788}" name="Discount (%)" dataDxfId="4"/>
    <tableColumn id="9" xr3:uid="{BBEA31FB-8326-49B7-A6CF-231BAE41A628}" name="ΕΦΚ" dataDxfId="3"/>
    <tableColumn id="7" xr3:uid="{29CB2F4D-238F-4120-918A-D24A1EC638D0}" name="TAX (%)" dataDxfId="2"/>
    <tableColumn id="12" xr3:uid="{6B2EF7A9-84E0-4E03-BA15-BD6E4BF1A3E7}" name="Net Cost" dataDxfId="1" dataCellStyle="Currency">
      <calculatedColumnFormula>(Table51013323370[[#This Row],[Total]] * (1 - Table51013323370[[#This Row],[Discount (%)]]) + Table51013323370[[#This Row],[ΕΦΚ]]) * (1 + Table51013323370[[#This Row],[TAX (%)]])</calculatedColumnFormula>
    </tableColumn>
    <tableColumn id="13" xr3:uid="{39B32F45-2D11-442D-AB71-640D87417DAA}" name="NOTES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Q1012"/>
  <sheetViews>
    <sheetView tabSelected="1" zoomScaleNormal="100" workbookViewId="0">
      <pane ySplit="1" topLeftCell="A2" activePane="bottomLeft" state="frozen"/>
      <selection pane="bottomLeft" activeCell="D26" sqref="D26"/>
    </sheetView>
  </sheetViews>
  <sheetFormatPr defaultColWidth="8.7265625" defaultRowHeight="15.5" x14ac:dyDescent="0.35"/>
  <cols>
    <col min="1" max="1" width="25.54296875" style="29" bestFit="1" customWidth="1"/>
    <col min="2" max="2" width="16" style="40" bestFit="1" customWidth="1"/>
    <col min="3" max="3" width="10.54296875" style="26" bestFit="1" customWidth="1"/>
    <col min="4" max="4" width="12.7265625" style="28" bestFit="1" customWidth="1"/>
    <col min="5" max="5" width="10.453125" style="33" bestFit="1" customWidth="1"/>
    <col min="6" max="6" width="6.26953125" style="29" bestFit="1" customWidth="1"/>
    <col min="7" max="7" width="65.7265625" style="29" bestFit="1" customWidth="1"/>
    <col min="8" max="8" width="14.54296875" style="27" bestFit="1" customWidth="1"/>
    <col min="9" max="9" width="12.26953125" style="27" customWidth="1"/>
    <col min="10" max="10" width="14" style="27" customWidth="1"/>
    <col min="11" max="12" width="8.7265625" style="29"/>
    <col min="13" max="13" width="9.7265625" style="29" bestFit="1" customWidth="1"/>
    <col min="14" max="16" width="8.7265625" style="29"/>
    <col min="17" max="17" width="14.453125" style="29" bestFit="1" customWidth="1"/>
    <col min="18" max="16384" width="8.7265625" style="29"/>
  </cols>
  <sheetData>
    <row r="1" spans="1:10" ht="25" x14ac:dyDescent="0.35">
      <c r="A1" s="29" t="s">
        <v>118</v>
      </c>
      <c r="B1" s="34"/>
      <c r="G1" s="25" t="s">
        <v>1</v>
      </c>
      <c r="H1" s="29"/>
      <c r="I1" s="29"/>
      <c r="J1" s="29"/>
    </row>
    <row r="2" spans="1:10" x14ac:dyDescent="0.35">
      <c r="B2" s="34"/>
      <c r="E2" s="29"/>
    </row>
    <row r="3" spans="1:10" x14ac:dyDescent="0.35">
      <c r="A3" s="108" t="s">
        <v>0</v>
      </c>
      <c r="B3" s="111" t="s">
        <v>2</v>
      </c>
      <c r="E3" s="94" t="s">
        <v>110</v>
      </c>
      <c r="F3" s="95"/>
      <c r="G3" s="100" t="s">
        <v>291</v>
      </c>
      <c r="H3" s="108" t="s">
        <v>12</v>
      </c>
      <c r="I3" s="29"/>
    </row>
    <row r="4" spans="1:10" x14ac:dyDescent="0.35">
      <c r="A4" s="110"/>
      <c r="B4" s="109"/>
      <c r="E4" s="98"/>
      <c r="F4" s="99"/>
      <c r="G4" s="114"/>
      <c r="H4" s="109"/>
      <c r="I4" s="29"/>
    </row>
    <row r="5" spans="1:10" x14ac:dyDescent="0.35">
      <c r="A5" s="108" t="s">
        <v>26</v>
      </c>
      <c r="B5" s="112">
        <v>2026</v>
      </c>
      <c r="E5" s="94" t="s">
        <v>14</v>
      </c>
      <c r="F5" s="95"/>
      <c r="G5" s="102" t="s">
        <v>17</v>
      </c>
      <c r="H5" s="87">
        <f ca="1">SUMIFS(INDIRECT("'" &amp; G3 &amp; "'!L:L"),
        INDIRECT("'" &amp; G3 &amp; "'!A:A"), "&gt;=" &amp; DATE(G7, MATCH(G5, $Q$1001:$Q$1012, 0), 1),
        INDIRECT("'" &amp; G3 &amp; "'!A:A"), "&lt;=" &amp; EOMONTH(DATE(G7, MATCH(G5, $Q$1001:$Q$1012, 0), 1), 0))</f>
        <v>404.18916752140012</v>
      </c>
      <c r="I5" s="29"/>
    </row>
    <row r="6" spans="1:10" x14ac:dyDescent="0.35">
      <c r="A6" s="110"/>
      <c r="B6" s="113"/>
      <c r="E6" s="96"/>
      <c r="F6" s="97"/>
      <c r="G6" s="103"/>
      <c r="H6" s="88"/>
      <c r="I6" s="29"/>
    </row>
    <row r="7" spans="1:10" x14ac:dyDescent="0.35">
      <c r="A7" s="106" t="s">
        <v>99</v>
      </c>
      <c r="B7" s="104">
        <f ca="1">SUM(B9:B15)</f>
        <v>6064.7374690319011</v>
      </c>
      <c r="E7" s="94" t="s">
        <v>26</v>
      </c>
      <c r="F7" s="95"/>
      <c r="G7" s="92">
        <v>2026</v>
      </c>
      <c r="H7" s="89"/>
      <c r="I7" s="29"/>
    </row>
    <row r="8" spans="1:10" x14ac:dyDescent="0.35">
      <c r="A8" s="107"/>
      <c r="B8" s="105"/>
      <c r="E8" s="96"/>
      <c r="F8" s="97"/>
      <c r="G8" s="93"/>
      <c r="H8" s="29"/>
      <c r="I8" s="29"/>
    </row>
    <row r="9" spans="1:10" x14ac:dyDescent="0.35">
      <c r="A9" s="35" t="s">
        <v>50</v>
      </c>
      <c r="B9" s="36">
        <f t="shared" ref="B9:B15" ca="1" si="0">SUMIFS(INDIRECT("'" &amp; A9 &amp; "'!L:L"),
        INDIRECT("'" &amp; A9 &amp; "'!A:A"), "&gt;=" &amp; DATE($B$5, 1, 1),
        INDIRECT("'" &amp; A9 &amp; "'!A:A"), "&lt;=" &amp; DATE($B$5, 12, 31))</f>
        <v>629.27090000000021</v>
      </c>
      <c r="E9" s="91" t="s">
        <v>111</v>
      </c>
      <c r="F9" s="91"/>
      <c r="G9" s="37" t="s">
        <v>112</v>
      </c>
      <c r="I9" s="29"/>
      <c r="J9" s="38"/>
    </row>
    <row r="10" spans="1:10" x14ac:dyDescent="0.35">
      <c r="A10" s="35" t="s">
        <v>27</v>
      </c>
      <c r="B10" s="36">
        <f t="shared" ca="1" si="0"/>
        <v>1490.4114000000002</v>
      </c>
      <c r="E10" s="90" t="s">
        <v>51</v>
      </c>
      <c r="F10" s="90"/>
      <c r="G10" s="39" t="s">
        <v>107</v>
      </c>
      <c r="H10" s="29"/>
      <c r="I10" s="29"/>
      <c r="J10" s="29"/>
    </row>
    <row r="11" spans="1:10" x14ac:dyDescent="0.35">
      <c r="A11" s="35" t="s">
        <v>72</v>
      </c>
      <c r="B11" s="36">
        <f t="shared" ca="1" si="0"/>
        <v>1731.6515048000001</v>
      </c>
      <c r="E11" s="90" t="s">
        <v>100</v>
      </c>
      <c r="F11" s="90"/>
      <c r="G11" s="39" t="s">
        <v>109</v>
      </c>
      <c r="H11" s="29"/>
      <c r="I11" s="29"/>
      <c r="J11" s="29"/>
    </row>
    <row r="12" spans="1:10" x14ac:dyDescent="0.35">
      <c r="A12" s="35" t="s">
        <v>291</v>
      </c>
      <c r="B12" s="36">
        <f ca="1">SUMIFS(INDIRECT("'" &amp; A12 &amp; "'!L:L"),
        INDIRECT("'" &amp; A12 &amp; "'!A:A"), "&gt;=" &amp; DATE($B$5, 1, 1),
        INDIRECT("'" &amp; A12 &amp; "'!A:A"), "&lt;=" &amp; DATE($B$5, 12, 31))</f>
        <v>1114.8633162319004</v>
      </c>
      <c r="E12" s="90" t="s">
        <v>30</v>
      </c>
      <c r="F12" s="90"/>
      <c r="G12" s="39" t="s">
        <v>108</v>
      </c>
      <c r="H12" s="29"/>
      <c r="I12" s="29"/>
      <c r="J12" s="29"/>
    </row>
    <row r="13" spans="1:10" x14ac:dyDescent="0.35">
      <c r="A13" s="35" t="s">
        <v>233</v>
      </c>
      <c r="B13" s="36">
        <f ca="1">SUMIFS(INDIRECT("'" &amp; A13 &amp; "'!L:L"),
        INDIRECT("'" &amp; A13 &amp; "'!A:A"), "&gt;=" &amp; DATE($B$5, 1, 1),
        INDIRECT("'" &amp; A13 &amp; "'!A:A"), "&lt;=" &amp; DATE($B$5, 12, 31))</f>
        <v>538.57743600000015</v>
      </c>
      <c r="E13" s="90" t="s">
        <v>45</v>
      </c>
      <c r="F13" s="90"/>
      <c r="G13" s="39" t="s">
        <v>103</v>
      </c>
      <c r="H13" s="29"/>
      <c r="I13" s="29"/>
      <c r="J13" s="29"/>
    </row>
    <row r="14" spans="1:10" x14ac:dyDescent="0.35">
      <c r="A14" s="35" t="s">
        <v>254</v>
      </c>
      <c r="B14" s="36">
        <f ca="1">SUMIFS(INDIRECT("'" &amp; A14 &amp; "'!L:L"),
        INDIRECT("'" &amp; A14 &amp; "'!A:A"), "&gt;=" &amp; DATE($B$5, 1, 1),
        INDIRECT("'" &amp; A14 &amp; "'!A:A"), "&lt;=" &amp; DATE($B$5, 12, 31))</f>
        <v>259.26720000000006</v>
      </c>
      <c r="E14" s="90" t="s">
        <v>77</v>
      </c>
      <c r="F14" s="90"/>
      <c r="G14" s="39" t="s">
        <v>104</v>
      </c>
      <c r="H14" s="29"/>
      <c r="I14" s="29"/>
      <c r="J14" s="29"/>
    </row>
    <row r="15" spans="1:10" x14ac:dyDescent="0.35">
      <c r="A15" s="35" t="s">
        <v>268</v>
      </c>
      <c r="B15" s="36">
        <f t="shared" ca="1" si="0"/>
        <v>300.6957119999999</v>
      </c>
      <c r="E15" s="90" t="s">
        <v>89</v>
      </c>
      <c r="F15" s="90"/>
      <c r="G15" s="39" t="s">
        <v>105</v>
      </c>
      <c r="H15" s="29"/>
      <c r="I15" s="29"/>
      <c r="J15" s="29"/>
    </row>
    <row r="16" spans="1:10" x14ac:dyDescent="0.35">
      <c r="A16" s="35" t="s">
        <v>185</v>
      </c>
      <c r="B16" s="36">
        <f ca="1">SUMIFS(INDIRECT("'" &amp; A16 &amp; "'!L:L"),
        INDIRECT("'" &amp; A16 &amp; "'!A:A"), "&gt;=" &amp; DATE($B$5, 1, 1),
        INDIRECT("'" &amp; A16 &amp; "'!A:A"), "&lt;=" &amp; DATE($B$5, 12, 31))</f>
        <v>21.973499999999998</v>
      </c>
      <c r="E16" s="90" t="s">
        <v>101</v>
      </c>
      <c r="F16" s="90"/>
      <c r="G16" s="39" t="s">
        <v>106</v>
      </c>
      <c r="H16" s="29"/>
      <c r="I16" s="29"/>
      <c r="J16" s="29"/>
    </row>
    <row r="17" spans="1:10" x14ac:dyDescent="0.35">
      <c r="A17" s="35" t="s">
        <v>345</v>
      </c>
      <c r="B17" s="36">
        <f ca="1">SUMIFS(INDIRECT("'" &amp; A17 &amp; "'!L:L"),
        INDIRECT("'" &amp; A17 &amp; "'!A:A"), "&gt;=" &amp; DATE($B$5, 1, 1),
        INDIRECT("'" &amp; A17 &amp; "'!A:A"), "&lt;=" &amp; DATE($B$5, 12, 31))</f>
        <v>133.30000000000001</v>
      </c>
      <c r="E17" s="90" t="s">
        <v>117</v>
      </c>
      <c r="F17" s="90"/>
      <c r="G17" s="39" t="s">
        <v>116</v>
      </c>
      <c r="I17" s="29"/>
    </row>
    <row r="18" spans="1:10" x14ac:dyDescent="0.35">
      <c r="E18" s="29"/>
      <c r="I18" s="29"/>
    </row>
    <row r="19" spans="1:10" x14ac:dyDescent="0.35">
      <c r="D19" s="26"/>
      <c r="E19" s="94" t="s">
        <v>110</v>
      </c>
      <c r="F19" s="95"/>
      <c r="G19" s="100" t="s">
        <v>291</v>
      </c>
    </row>
    <row r="20" spans="1:10" x14ac:dyDescent="0.35">
      <c r="E20" s="96"/>
      <c r="F20" s="97"/>
      <c r="G20" s="101"/>
    </row>
    <row r="21" spans="1:10" x14ac:dyDescent="0.35">
      <c r="D21" s="26"/>
      <c r="E21" s="94" t="s">
        <v>9</v>
      </c>
      <c r="F21" s="95"/>
      <c r="G21" s="102" t="s">
        <v>101</v>
      </c>
      <c r="H21" s="92">
        <v>2026</v>
      </c>
    </row>
    <row r="22" spans="1:10" x14ac:dyDescent="0.35">
      <c r="D22" s="26"/>
      <c r="E22" s="98"/>
      <c r="F22" s="99"/>
      <c r="G22" s="103"/>
      <c r="H22" s="93"/>
    </row>
    <row r="23" spans="1:10" x14ac:dyDescent="0.35">
      <c r="D23" s="29"/>
      <c r="E23" s="94" t="s">
        <v>113</v>
      </c>
      <c r="F23" s="95"/>
      <c r="G23" s="92" t="s">
        <v>4</v>
      </c>
      <c r="H23" s="92" t="s">
        <v>114</v>
      </c>
    </row>
    <row r="24" spans="1:10" x14ac:dyDescent="0.35">
      <c r="D24" s="29"/>
      <c r="E24" s="96"/>
      <c r="F24" s="97"/>
      <c r="G24" s="93"/>
      <c r="H24" s="93"/>
    </row>
    <row r="25" spans="1:10" x14ac:dyDescent="0.35">
      <c r="D25" s="30" t="s">
        <v>3</v>
      </c>
      <c r="E25" s="31" t="s">
        <v>4</v>
      </c>
      <c r="F25" s="31" t="s">
        <v>41</v>
      </c>
      <c r="G25" s="30" t="s">
        <v>115</v>
      </c>
      <c r="H25" s="30" t="s">
        <v>6</v>
      </c>
      <c r="I25" s="32" t="s">
        <v>102</v>
      </c>
      <c r="J25" s="32" t="s">
        <v>12</v>
      </c>
    </row>
    <row r="26" spans="1:10" x14ac:dyDescent="0.35">
      <c r="D26" s="26" cm="1">
        <f t="array" aca="1" ref="D26:I28" ca="1">_xlfn.CHOOSECOLS(
  _xlfn._xlws.SORT(
    _xlfn._xlws.FILTER(
      INDIRECT("'" &amp; G19 &amp; "'!A2:L1000"),
      (INDIRECT("'" &amp; G19 &amp; "'!C2:C1000") = G21) * (YEAR(INDIRECT("'" &amp; G19 &amp; "'!A2:A1000")) = H21),
      "Not Found"
    ),
    _xlfn.SWITCH($G$23, "Date", 1, "Description", 4, "Quantity", 6, 1),
    IF($H$23="Descending", -1, 1)
  ),
  1, 6, 5, 4, 7, 12
)</f>
        <v>46097</v>
      </c>
      <c r="E26" s="33">
        <f ca="1"/>
        <v>4</v>
      </c>
      <c r="F26" s="29" t="str">
        <f ca="1"/>
        <v>ΚΙΛΑ</v>
      </c>
      <c r="G26" s="27" t="str">
        <f ca="1"/>
        <v>ΦΕΤΑ ΒΟΓΙΑΤΖΗ Π.Ο.Π ΜΕΡΙΔΕΣ</v>
      </c>
      <c r="H26" s="27">
        <f ca="1"/>
        <v>10.7</v>
      </c>
      <c r="I26" s="27">
        <f ca="1"/>
        <v>44.180513999999995</v>
      </c>
      <c r="J26" s="86">
        <f ca="1">IFERROR(SUM(I26:I1006), 0)</f>
        <v>72.193146199999987</v>
      </c>
    </row>
    <row r="27" spans="1:10" x14ac:dyDescent="0.35">
      <c r="D27" s="26">
        <f ca="1"/>
        <v>46052</v>
      </c>
      <c r="E27" s="33">
        <f ca="1"/>
        <v>2</v>
      </c>
      <c r="F27" s="29" t="str">
        <f ca="1"/>
        <v>ΚΙΛΑ</v>
      </c>
      <c r="G27" s="27" t="str">
        <f ca="1"/>
        <v>ΦΕΤΑ ΒΟΓΙΑΤΖΗ Π.Ο.Π ΜΕΡΙΔΕΣ</v>
      </c>
      <c r="H27" s="27">
        <f ca="1"/>
        <v>10.5</v>
      </c>
      <c r="I27" s="27">
        <f ca="1"/>
        <v>22.870973999999997</v>
      </c>
      <c r="J27" s="86"/>
    </row>
    <row r="28" spans="1:10" x14ac:dyDescent="0.35">
      <c r="D28" s="26">
        <f ca="1"/>
        <v>46048</v>
      </c>
      <c r="E28" s="33">
        <f ca="1"/>
        <v>1</v>
      </c>
      <c r="F28" s="29" t="str">
        <f ca="1"/>
        <v>ΤΕΜ</v>
      </c>
      <c r="G28" s="27" t="str">
        <f ca="1"/>
        <v>ΦΕΤΑ ΤΥΡΑΣ 400GR</v>
      </c>
      <c r="H28" s="27">
        <f ca="1"/>
        <v>4.9000000000000004</v>
      </c>
      <c r="I28" s="27">
        <f ca="1"/>
        <v>5.1416581999999993</v>
      </c>
    </row>
    <row r="29" spans="1:10" x14ac:dyDescent="0.35">
      <c r="D29" s="26"/>
      <c r="G29" s="27"/>
    </row>
    <row r="30" spans="1:10" x14ac:dyDescent="0.35">
      <c r="D30" s="26"/>
      <c r="G30" s="27"/>
    </row>
    <row r="31" spans="1:10" x14ac:dyDescent="0.35">
      <c r="D31" s="26"/>
      <c r="G31" s="27"/>
    </row>
    <row r="32" spans="1:10" x14ac:dyDescent="0.35">
      <c r="D32" s="26"/>
      <c r="G32" s="27"/>
    </row>
    <row r="33" spans="4:7" x14ac:dyDescent="0.35">
      <c r="D33" s="26"/>
      <c r="G33" s="27"/>
    </row>
    <row r="34" spans="4:7" x14ac:dyDescent="0.35">
      <c r="D34" s="26"/>
      <c r="G34" s="27"/>
    </row>
    <row r="35" spans="4:7" x14ac:dyDescent="0.35">
      <c r="D35" s="26"/>
      <c r="G35" s="27"/>
    </row>
    <row r="36" spans="4:7" x14ac:dyDescent="0.35">
      <c r="D36" s="26"/>
      <c r="G36" s="27"/>
    </row>
    <row r="37" spans="4:7" x14ac:dyDescent="0.35">
      <c r="D37" s="26"/>
      <c r="G37" s="27"/>
    </row>
    <row r="1001" spans="17:17" x14ac:dyDescent="0.35">
      <c r="Q1001" s="29" t="s">
        <v>13</v>
      </c>
    </row>
    <row r="1002" spans="17:17" x14ac:dyDescent="0.35">
      <c r="Q1002" s="29" t="s">
        <v>15</v>
      </c>
    </row>
    <row r="1003" spans="17:17" x14ac:dyDescent="0.35">
      <c r="Q1003" s="29" t="s">
        <v>16</v>
      </c>
    </row>
    <row r="1004" spans="17:17" x14ac:dyDescent="0.35">
      <c r="Q1004" s="29" t="s">
        <v>17</v>
      </c>
    </row>
    <row r="1005" spans="17:17" x14ac:dyDescent="0.35">
      <c r="Q1005" s="29" t="s">
        <v>25</v>
      </c>
    </row>
    <row r="1006" spans="17:17" x14ac:dyDescent="0.35">
      <c r="Q1006" s="29" t="s">
        <v>18</v>
      </c>
    </row>
    <row r="1007" spans="17:17" x14ac:dyDescent="0.35">
      <c r="Q1007" s="29" t="s">
        <v>19</v>
      </c>
    </row>
    <row r="1008" spans="17:17" x14ac:dyDescent="0.35">
      <c r="Q1008" s="29" t="s">
        <v>20</v>
      </c>
    </row>
    <row r="1009" spans="17:17" x14ac:dyDescent="0.35">
      <c r="Q1009" s="29" t="s">
        <v>21</v>
      </c>
    </row>
    <row r="1010" spans="17:17" x14ac:dyDescent="0.35">
      <c r="Q1010" s="29" t="s">
        <v>23</v>
      </c>
    </row>
    <row r="1011" spans="17:17" x14ac:dyDescent="0.35">
      <c r="Q1011" s="29" t="s">
        <v>24</v>
      </c>
    </row>
    <row r="1012" spans="17:17" x14ac:dyDescent="0.35">
      <c r="Q1012" s="29" t="s">
        <v>22</v>
      </c>
    </row>
  </sheetData>
  <mergeCells count="32">
    <mergeCell ref="H3:H4"/>
    <mergeCell ref="E7:F8"/>
    <mergeCell ref="G7:G8"/>
    <mergeCell ref="A3:A4"/>
    <mergeCell ref="B3:B4"/>
    <mergeCell ref="A5:A6"/>
    <mergeCell ref="B5:B6"/>
    <mergeCell ref="E3:F4"/>
    <mergeCell ref="E5:F6"/>
    <mergeCell ref="G5:G6"/>
    <mergeCell ref="G3:G4"/>
    <mergeCell ref="G19:G20"/>
    <mergeCell ref="G21:G22"/>
    <mergeCell ref="G23:G24"/>
    <mergeCell ref="B7:B8"/>
    <mergeCell ref="A7:A8"/>
    <mergeCell ref="J26:J27"/>
    <mergeCell ref="H5:H7"/>
    <mergeCell ref="E14:F14"/>
    <mergeCell ref="E13:F13"/>
    <mergeCell ref="E12:F12"/>
    <mergeCell ref="E11:F11"/>
    <mergeCell ref="E9:F9"/>
    <mergeCell ref="E10:F10"/>
    <mergeCell ref="H21:H22"/>
    <mergeCell ref="H23:H24"/>
    <mergeCell ref="E17:F17"/>
    <mergeCell ref="E16:F16"/>
    <mergeCell ref="E15:F15"/>
    <mergeCell ref="E19:F20"/>
    <mergeCell ref="E21:F22"/>
    <mergeCell ref="E23:F24"/>
  </mergeCells>
  <dataValidations count="7">
    <dataValidation type="list" allowBlank="1" showInputMessage="1" showErrorMessage="1" sqref="G5" xr:uid="{D4A9165F-A242-47CC-AE0F-45224E600ACA}">
      <formula1>$Q$1001:$Q$1012</formula1>
    </dataValidation>
    <dataValidation type="list" allowBlank="1" showInputMessage="1" showErrorMessage="1" sqref="B5 H21 G7" xr:uid="{987E0B22-1F1E-447A-BE05-51DE3F5A2B67}">
      <formula1>"2025,2026,2027,2028,2029,2030"</formula1>
    </dataValidation>
    <dataValidation type="list" showInputMessage="1" showErrorMessage="1" sqref="G21" xr:uid="{24639CA5-8D9A-4231-BEA0-34D4C4543AED}">
      <formula1>"COFFEE,BEVERAGE,WINE,BEER,FOOD,DAIRY,NON-FOOD"</formula1>
    </dataValidation>
    <dataValidation type="list" allowBlank="1" showInputMessage="1" showErrorMessage="1" sqref="G23" xr:uid="{AC0876E1-A2A6-411F-990A-55CF34DC0467}">
      <formula1>"Date,Description,Quantity"</formula1>
    </dataValidation>
    <dataValidation type="list" allowBlank="1" showInputMessage="1" showErrorMessage="1" sqref="H23" xr:uid="{8233468E-A970-4D6D-9495-86384CBFC07B}">
      <formula1>"Ascending,Descending"</formula1>
    </dataValidation>
    <dataValidation type="list" allowBlank="1" showInputMessage="1" showErrorMessage="1" sqref="G19" xr:uid="{BE167821-84BD-40A2-AFED-ECC7A36BDBF2}">
      <formula1>$A$9:$A$53</formula1>
    </dataValidation>
    <dataValidation type="list" allowBlank="1" showInputMessage="1" showErrorMessage="1" sqref="G3" xr:uid="{F6A8A814-FD65-4B7E-A987-671343DBC37E}">
      <formula1>$A$9:$A$52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M41"/>
  <sheetViews>
    <sheetView workbookViewId="0">
      <pane ySplit="1" topLeftCell="A2" activePane="bottomLeft" state="frozen"/>
      <selection pane="bottomLeft" activeCell="D28" sqref="D28"/>
    </sheetView>
  </sheetViews>
  <sheetFormatPr defaultColWidth="8.7265625" defaultRowHeight="14" x14ac:dyDescent="0.3"/>
  <cols>
    <col min="1" max="1" width="11.26953125" style="48" bestFit="1" customWidth="1"/>
    <col min="2" max="2" width="13.453125" style="16" bestFit="1" customWidth="1"/>
    <col min="3" max="3" width="12.54296875" style="16" bestFit="1" customWidth="1"/>
    <col min="4" max="4" width="68.1796875" style="16" bestFit="1" customWidth="1"/>
    <col min="5" max="5" width="8" style="16" bestFit="1" customWidth="1"/>
    <col min="6" max="6" width="11.7265625" style="16" bestFit="1" customWidth="1"/>
    <col min="7" max="7" width="14.7265625" style="20" bestFit="1" customWidth="1"/>
    <col min="8" max="8" width="10.453125" style="49" bestFit="1" customWidth="1"/>
    <col min="9" max="9" width="16.26953125" style="17" bestFit="1" customWidth="1"/>
    <col min="10" max="10" width="9.453125" style="18" bestFit="1" customWidth="1"/>
    <col min="11" max="11" width="11.26953125" style="17" bestFit="1" customWidth="1"/>
    <col min="12" max="12" width="13.54296875" style="16" bestFit="1" customWidth="1"/>
    <col min="13" max="13" width="10.81640625" style="16" bestFit="1" customWidth="1"/>
    <col min="14" max="16384" width="8.7265625" style="16"/>
  </cols>
  <sheetData>
    <row r="1" spans="1:13" s="3" customFormat="1" x14ac:dyDescent="0.35">
      <c r="A1" s="12" t="s">
        <v>3</v>
      </c>
      <c r="B1" s="3" t="s">
        <v>8</v>
      </c>
      <c r="C1" s="3" t="s">
        <v>10</v>
      </c>
      <c r="D1" s="3" t="s">
        <v>97</v>
      </c>
      <c r="E1" s="3" t="s">
        <v>41</v>
      </c>
      <c r="F1" s="3" t="s">
        <v>4</v>
      </c>
      <c r="G1" s="19" t="s">
        <v>6</v>
      </c>
      <c r="H1" s="2" t="s">
        <v>5</v>
      </c>
      <c r="I1" s="4" t="s">
        <v>7</v>
      </c>
      <c r="J1" s="13" t="s">
        <v>60</v>
      </c>
      <c r="K1" s="4" t="s">
        <v>29</v>
      </c>
      <c r="L1" s="2" t="s">
        <v>11</v>
      </c>
      <c r="M1" s="3" t="s">
        <v>198</v>
      </c>
    </row>
    <row r="2" spans="1:13" s="3" customFormat="1" ht="15" customHeight="1" x14ac:dyDescent="0.35">
      <c r="A2" s="12">
        <v>46128</v>
      </c>
      <c r="B2" s="3">
        <v>1480</v>
      </c>
      <c r="C2" s="3" t="s">
        <v>100</v>
      </c>
      <c r="D2" s="3" t="s">
        <v>155</v>
      </c>
      <c r="E2" s="3" t="s">
        <v>42</v>
      </c>
      <c r="F2" s="15">
        <v>1</v>
      </c>
      <c r="G2" s="19">
        <v>4.33</v>
      </c>
      <c r="H2" s="5">
        <f>KAZOULIS[[#This Row],[Quantity]]*KAZOULIS[[#This Row],[Unit Price]]</f>
        <v>4.33</v>
      </c>
      <c r="I2" s="4"/>
      <c r="J2" s="13"/>
      <c r="K2" s="4">
        <v>0.13</v>
      </c>
      <c r="L2" s="2">
        <f>(KAZOULIS[[#This Row],[Total]] * (1 - KAZOULIS[[#This Row],[Discount (%)]]) + KAZOULIS[[#This Row],[ΕΦΚ]]) * (1 + KAZOULIS[[#This Row],[TAX (%)]])</f>
        <v>4.8929</v>
      </c>
    </row>
    <row r="3" spans="1:13" s="3" customFormat="1" ht="15" customHeight="1" x14ac:dyDescent="0.35">
      <c r="A3" s="12">
        <v>46128</v>
      </c>
      <c r="B3" s="3">
        <v>1480</v>
      </c>
      <c r="C3" s="3" t="s">
        <v>100</v>
      </c>
      <c r="D3" s="3" t="s">
        <v>54</v>
      </c>
      <c r="E3" s="3" t="s">
        <v>42</v>
      </c>
      <c r="F3" s="15">
        <v>1</v>
      </c>
      <c r="G3" s="19">
        <v>4.33</v>
      </c>
      <c r="H3" s="5">
        <f>KAZOULIS[[#This Row],[Quantity]]*KAZOULIS[[#This Row],[Unit Price]]</f>
        <v>4.33</v>
      </c>
      <c r="I3" s="4"/>
      <c r="J3" s="13"/>
      <c r="K3" s="4">
        <v>0.13</v>
      </c>
      <c r="L3" s="2">
        <f>(KAZOULIS[[#This Row],[Total]] * (1 - KAZOULIS[[#This Row],[Discount (%)]]) + KAZOULIS[[#This Row],[ΕΦΚ]]) * (1 + KAZOULIS[[#This Row],[TAX (%)]])</f>
        <v>4.8929</v>
      </c>
    </row>
    <row r="4" spans="1:13" s="3" customFormat="1" ht="15" customHeight="1" x14ac:dyDescent="0.35">
      <c r="A4" s="12">
        <v>46128</v>
      </c>
      <c r="B4" s="3">
        <v>1480</v>
      </c>
      <c r="C4" s="3" t="s">
        <v>100</v>
      </c>
      <c r="D4" s="3" t="s">
        <v>55</v>
      </c>
      <c r="E4" s="3" t="s">
        <v>42</v>
      </c>
      <c r="F4" s="15">
        <v>1</v>
      </c>
      <c r="G4" s="19">
        <v>4.33</v>
      </c>
      <c r="H4" s="5">
        <f>KAZOULIS[[#This Row],[Quantity]]*KAZOULIS[[#This Row],[Unit Price]]</f>
        <v>4.33</v>
      </c>
      <c r="I4" s="4"/>
      <c r="J4" s="13"/>
      <c r="K4" s="4">
        <v>0.13</v>
      </c>
      <c r="L4" s="2">
        <f>(KAZOULIS[[#This Row],[Total]] * (1 - KAZOULIS[[#This Row],[Discount (%)]]) + KAZOULIS[[#This Row],[ΕΦΚ]]) * (1 + KAZOULIS[[#This Row],[TAX (%)]])</f>
        <v>4.8929</v>
      </c>
    </row>
    <row r="5" spans="1:13" x14ac:dyDescent="0.3">
      <c r="A5" s="12">
        <v>46118</v>
      </c>
      <c r="B5" s="3">
        <v>1360</v>
      </c>
      <c r="C5" s="3" t="s">
        <v>51</v>
      </c>
      <c r="D5" s="3" t="s">
        <v>63</v>
      </c>
      <c r="E5" s="3" t="s">
        <v>53</v>
      </c>
      <c r="F5" s="15">
        <v>1</v>
      </c>
      <c r="G5" s="19">
        <v>20.3</v>
      </c>
      <c r="H5" s="13">
        <f>KAZOULIS[[#This Row],[Quantity]]*KAZOULIS[[#This Row],[Unit Price]]</f>
        <v>20.3</v>
      </c>
      <c r="I5" s="4"/>
      <c r="J5" s="13">
        <v>2.4</v>
      </c>
      <c r="K5" s="4">
        <v>0.13</v>
      </c>
      <c r="L5" s="2">
        <f>(KAZOULIS[[#This Row],[Total]] * (1 - KAZOULIS[[#This Row],[Discount (%)]]) + KAZOULIS[[#This Row],[ΕΦΚ]]) * (1 + KAZOULIS[[#This Row],[TAX (%)]])</f>
        <v>25.650999999999996</v>
      </c>
      <c r="M5" s="3"/>
    </row>
    <row r="6" spans="1:13" x14ac:dyDescent="0.3">
      <c r="A6" s="12">
        <v>46118</v>
      </c>
      <c r="B6" s="3">
        <v>1360</v>
      </c>
      <c r="C6" s="3" t="s">
        <v>51</v>
      </c>
      <c r="D6" s="3" t="s">
        <v>61</v>
      </c>
      <c r="E6" s="3" t="s">
        <v>42</v>
      </c>
      <c r="F6" s="15">
        <v>100</v>
      </c>
      <c r="G6" s="19">
        <v>0.42</v>
      </c>
      <c r="H6" s="13">
        <f>KAZOULIS[[#This Row],[Quantity]]*KAZOULIS[[#This Row],[Unit Price]]</f>
        <v>42</v>
      </c>
      <c r="I6" s="4"/>
      <c r="J6" s="13">
        <v>1.5</v>
      </c>
      <c r="K6" s="4">
        <v>0.13</v>
      </c>
      <c r="L6" s="2">
        <f>(KAZOULIS[[#This Row],[Total]] * (1 - KAZOULIS[[#This Row],[Discount (%)]]) + KAZOULIS[[#This Row],[ΕΦΚ]]) * (1 + KAZOULIS[[#This Row],[TAX (%)]])</f>
        <v>49.154999999999994</v>
      </c>
      <c r="M6" s="3"/>
    </row>
    <row r="7" spans="1:13" x14ac:dyDescent="0.3">
      <c r="A7" s="12">
        <v>46116</v>
      </c>
      <c r="B7" s="3">
        <v>1343</v>
      </c>
      <c r="C7" s="3" t="s">
        <v>101</v>
      </c>
      <c r="D7" s="3" t="s">
        <v>69</v>
      </c>
      <c r="E7" s="3" t="s">
        <v>42</v>
      </c>
      <c r="F7" s="15">
        <v>100</v>
      </c>
      <c r="G7" s="19">
        <v>2.7E-2</v>
      </c>
      <c r="H7" s="13">
        <f>KAZOULIS[[#This Row],[Quantity]]*KAZOULIS[[#This Row],[Unit Price]]</f>
        <v>2.7</v>
      </c>
      <c r="I7" s="4"/>
      <c r="J7" s="13"/>
      <c r="K7" s="4">
        <v>0.24</v>
      </c>
      <c r="L7" s="2">
        <f>(KAZOULIS[[#This Row],[Total]] * (1 - KAZOULIS[[#This Row],[Discount (%)]]) + KAZOULIS[[#This Row],[ΕΦΚ]]) * (1 + KAZOULIS[[#This Row],[TAX (%)]])</f>
        <v>3.3480000000000003</v>
      </c>
      <c r="M7" s="3"/>
    </row>
    <row r="8" spans="1:13" x14ac:dyDescent="0.3">
      <c r="A8" s="12">
        <v>46116</v>
      </c>
      <c r="B8" s="3">
        <v>1343</v>
      </c>
      <c r="C8" s="3" t="s">
        <v>101</v>
      </c>
      <c r="D8" s="3" t="s">
        <v>59</v>
      </c>
      <c r="E8" s="3" t="s">
        <v>42</v>
      </c>
      <c r="F8" s="15">
        <v>100</v>
      </c>
      <c r="G8" s="19">
        <v>4.2000000000000003E-2</v>
      </c>
      <c r="H8" s="13">
        <f>KAZOULIS[[#This Row],[Quantity]]*KAZOULIS[[#This Row],[Unit Price]]</f>
        <v>4.2</v>
      </c>
      <c r="I8" s="4"/>
      <c r="J8" s="13"/>
      <c r="K8" s="4">
        <v>0.24</v>
      </c>
      <c r="L8" s="2">
        <f>(KAZOULIS[[#This Row],[Total]] * (1 - KAZOULIS[[#This Row],[Discount (%)]]) + KAZOULIS[[#This Row],[ΕΦΚ]]) * (1 + KAZOULIS[[#This Row],[TAX (%)]])</f>
        <v>5.2080000000000002</v>
      </c>
      <c r="M8" s="3"/>
    </row>
    <row r="9" spans="1:13" x14ac:dyDescent="0.3">
      <c r="A9" s="12">
        <v>46116</v>
      </c>
      <c r="B9" s="3">
        <v>1343</v>
      </c>
      <c r="C9" s="3" t="s">
        <v>77</v>
      </c>
      <c r="D9" s="3" t="s">
        <v>57</v>
      </c>
      <c r="E9" s="3" t="s">
        <v>43</v>
      </c>
      <c r="F9" s="15">
        <v>1</v>
      </c>
      <c r="G9" s="19">
        <v>18.850000000000001</v>
      </c>
      <c r="H9" s="13">
        <f>KAZOULIS[[#This Row],[Quantity]]*KAZOULIS[[#This Row],[Unit Price]]</f>
        <v>18.850000000000001</v>
      </c>
      <c r="I9" s="4"/>
      <c r="J9" s="13"/>
      <c r="K9" s="4">
        <v>0.13</v>
      </c>
      <c r="L9" s="2">
        <f>(KAZOULIS[[#This Row],[Total]] * (1 - KAZOULIS[[#This Row],[Discount (%)]]) + KAZOULIS[[#This Row],[ΕΦΚ]]) * (1 + KAZOULIS[[#This Row],[TAX (%)]])</f>
        <v>21.3005</v>
      </c>
      <c r="M9" s="3"/>
    </row>
    <row r="10" spans="1:13" x14ac:dyDescent="0.3">
      <c r="A10" s="12">
        <v>46116</v>
      </c>
      <c r="B10" s="3">
        <v>1343</v>
      </c>
      <c r="C10" s="3" t="s">
        <v>89</v>
      </c>
      <c r="D10" s="3" t="s">
        <v>71</v>
      </c>
      <c r="E10" s="3" t="s">
        <v>42</v>
      </c>
      <c r="F10" s="15">
        <v>1</v>
      </c>
      <c r="G10" s="19">
        <v>16.5</v>
      </c>
      <c r="H10" s="13">
        <f>KAZOULIS[[#This Row],[Quantity]]*KAZOULIS[[#This Row],[Unit Price]]</f>
        <v>16.5</v>
      </c>
      <c r="I10" s="4"/>
      <c r="J10" s="13"/>
      <c r="K10" s="4">
        <v>0.13</v>
      </c>
      <c r="L10" s="2">
        <f>(KAZOULIS[[#This Row],[Total]] * (1 - KAZOULIS[[#This Row],[Discount (%)]]) + KAZOULIS[[#This Row],[ΕΦΚ]]) * (1 + KAZOULIS[[#This Row],[TAX (%)]])</f>
        <v>18.645</v>
      </c>
      <c r="M10" s="3"/>
    </row>
    <row r="11" spans="1:13" x14ac:dyDescent="0.3">
      <c r="A11" s="12">
        <v>46116</v>
      </c>
      <c r="B11" s="3">
        <v>1343</v>
      </c>
      <c r="C11" s="3" t="s">
        <v>51</v>
      </c>
      <c r="D11" s="3" t="s">
        <v>70</v>
      </c>
      <c r="E11" s="3" t="s">
        <v>42</v>
      </c>
      <c r="F11" s="15">
        <v>1</v>
      </c>
      <c r="G11" s="19">
        <v>9.15</v>
      </c>
      <c r="H11" s="13">
        <f>KAZOULIS[[#This Row],[Quantity]]*KAZOULIS[[#This Row],[Unit Price]]</f>
        <v>9.15</v>
      </c>
      <c r="I11" s="4"/>
      <c r="J11" s="13">
        <v>0.75</v>
      </c>
      <c r="K11" s="4">
        <v>0.13</v>
      </c>
      <c r="L11" s="2">
        <f>(KAZOULIS[[#This Row],[Total]] * (1 - KAZOULIS[[#This Row],[Discount (%)]]) + KAZOULIS[[#This Row],[ΕΦΚ]]) * (1 + KAZOULIS[[#This Row],[TAX (%)]])</f>
        <v>11.186999999999999</v>
      </c>
      <c r="M11" s="3"/>
    </row>
    <row r="12" spans="1:13" x14ac:dyDescent="0.3">
      <c r="A12" s="12">
        <v>46116</v>
      </c>
      <c r="B12" s="3">
        <v>1343</v>
      </c>
      <c r="C12" s="3" t="s">
        <v>51</v>
      </c>
      <c r="D12" s="3" t="s">
        <v>52</v>
      </c>
      <c r="E12" s="3" t="s">
        <v>53</v>
      </c>
      <c r="F12" s="15">
        <v>6</v>
      </c>
      <c r="G12" s="19">
        <v>26.5</v>
      </c>
      <c r="H12" s="13">
        <f>KAZOULIS[[#This Row],[Quantity]]*KAZOULIS[[#This Row],[Unit Price]]</f>
        <v>159</v>
      </c>
      <c r="I12" s="4"/>
      <c r="J12" s="13">
        <v>18</v>
      </c>
      <c r="K12" s="4">
        <v>0.13</v>
      </c>
      <c r="L12" s="2">
        <f>(KAZOULIS[[#This Row],[Total]] * (1 - KAZOULIS[[#This Row],[Discount (%)]]) + KAZOULIS[[#This Row],[ΕΦΚ]]) * (1 + KAZOULIS[[#This Row],[TAX (%)]])</f>
        <v>200.01</v>
      </c>
      <c r="M12" s="3"/>
    </row>
    <row r="13" spans="1:13" x14ac:dyDescent="0.3">
      <c r="A13" s="12">
        <v>46080</v>
      </c>
      <c r="B13" s="3">
        <v>990</v>
      </c>
      <c r="C13" s="3" t="s">
        <v>101</v>
      </c>
      <c r="D13" s="3" t="s">
        <v>59</v>
      </c>
      <c r="E13" s="3" t="s">
        <v>42</v>
      </c>
      <c r="F13" s="15">
        <v>100</v>
      </c>
      <c r="G13" s="19">
        <v>4.2000000000000003E-2</v>
      </c>
      <c r="H13" s="13">
        <f>KAZOULIS[[#This Row],[Quantity]]*KAZOULIS[[#This Row],[Unit Price]]</f>
        <v>4.2</v>
      </c>
      <c r="I13" s="4"/>
      <c r="J13" s="13"/>
      <c r="K13" s="4">
        <v>0.24</v>
      </c>
      <c r="L13" s="2">
        <f>(KAZOULIS[[#This Row],[Total]] * (1 - KAZOULIS[[#This Row],[Discount (%)]]) + KAZOULIS[[#This Row],[ΕΦΚ]]) * (1 + KAZOULIS[[#This Row],[TAX (%)]])</f>
        <v>5.2080000000000002</v>
      </c>
      <c r="M13" s="3"/>
    </row>
    <row r="14" spans="1:13" x14ac:dyDescent="0.3">
      <c r="A14" s="12">
        <v>46080</v>
      </c>
      <c r="B14" s="3">
        <v>990</v>
      </c>
      <c r="C14" s="3" t="s">
        <v>51</v>
      </c>
      <c r="D14" s="3" t="s">
        <v>61</v>
      </c>
      <c r="E14" s="3" t="s">
        <v>42</v>
      </c>
      <c r="F14" s="15">
        <v>100</v>
      </c>
      <c r="G14" s="19">
        <v>0.42</v>
      </c>
      <c r="H14" s="13">
        <f>KAZOULIS[[#This Row],[Quantity]]*KAZOULIS[[#This Row],[Unit Price]]</f>
        <v>42</v>
      </c>
      <c r="I14" s="4"/>
      <c r="J14" s="13">
        <v>1.5</v>
      </c>
      <c r="K14" s="4">
        <v>0.13</v>
      </c>
      <c r="L14" s="2">
        <f>(KAZOULIS[[#This Row],[Total]] * (1 - KAZOULIS[[#This Row],[Discount (%)]]) + KAZOULIS[[#This Row],[ΕΦΚ]]) * (1 + KAZOULIS[[#This Row],[TAX (%)]])</f>
        <v>49.154999999999994</v>
      </c>
      <c r="M14" s="3"/>
    </row>
    <row r="15" spans="1:13" x14ac:dyDescent="0.3">
      <c r="A15" s="12">
        <v>46053</v>
      </c>
      <c r="B15" s="3">
        <v>738</v>
      </c>
      <c r="C15" s="3" t="s">
        <v>101</v>
      </c>
      <c r="D15" s="3" t="s">
        <v>69</v>
      </c>
      <c r="E15" s="3" t="s">
        <v>42</v>
      </c>
      <c r="F15" s="15">
        <v>100</v>
      </c>
      <c r="G15" s="19">
        <v>2.7E-2</v>
      </c>
      <c r="H15" s="13">
        <f>KAZOULIS[[#This Row],[Quantity]]*KAZOULIS[[#This Row],[Unit Price]]</f>
        <v>2.7</v>
      </c>
      <c r="I15" s="4"/>
      <c r="J15" s="13"/>
      <c r="K15" s="4">
        <v>0.24</v>
      </c>
      <c r="L15" s="2">
        <f>(KAZOULIS[[#This Row],[Total]] * (1 - KAZOULIS[[#This Row],[Discount (%)]]) + KAZOULIS[[#This Row],[ΕΦΚ]]) * (1 + KAZOULIS[[#This Row],[TAX (%)]])</f>
        <v>3.3480000000000003</v>
      </c>
      <c r="M15" s="3"/>
    </row>
    <row r="16" spans="1:13" x14ac:dyDescent="0.3">
      <c r="A16" s="12">
        <v>46053</v>
      </c>
      <c r="B16" s="3">
        <v>738</v>
      </c>
      <c r="C16" s="3" t="s">
        <v>101</v>
      </c>
      <c r="D16" s="3" t="s">
        <v>67</v>
      </c>
      <c r="E16" s="3" t="s">
        <v>42</v>
      </c>
      <c r="F16" s="15">
        <v>100</v>
      </c>
      <c r="G16" s="19">
        <v>1.4999999999999999E-2</v>
      </c>
      <c r="H16" s="13">
        <f>KAZOULIS[[#This Row],[Quantity]]*KAZOULIS[[#This Row],[Unit Price]]</f>
        <v>1.5</v>
      </c>
      <c r="I16" s="4"/>
      <c r="J16" s="13"/>
      <c r="K16" s="4">
        <v>0.24</v>
      </c>
      <c r="L16" s="2">
        <f>(KAZOULIS[[#This Row],[Total]] * (1 - KAZOULIS[[#This Row],[Discount (%)]]) + KAZOULIS[[#This Row],[ΕΦΚ]]) * (1 + KAZOULIS[[#This Row],[TAX (%)]])</f>
        <v>1.8599999999999999</v>
      </c>
      <c r="M16" s="3"/>
    </row>
    <row r="17" spans="1:13" x14ac:dyDescent="0.3">
      <c r="A17" s="12">
        <v>46053</v>
      </c>
      <c r="B17" s="3">
        <v>738</v>
      </c>
      <c r="C17" s="3" t="s">
        <v>101</v>
      </c>
      <c r="D17" s="3" t="s">
        <v>68</v>
      </c>
      <c r="E17" s="3" t="s">
        <v>42</v>
      </c>
      <c r="F17" s="15">
        <v>100</v>
      </c>
      <c r="G17" s="19">
        <v>4.7E-2</v>
      </c>
      <c r="H17" s="13">
        <f>KAZOULIS[[#This Row],[Quantity]]*KAZOULIS[[#This Row],[Unit Price]]</f>
        <v>4.7</v>
      </c>
      <c r="I17" s="4"/>
      <c r="J17" s="13"/>
      <c r="K17" s="4">
        <v>0.24</v>
      </c>
      <c r="L17" s="2">
        <f>(KAZOULIS[[#This Row],[Total]] * (1 - KAZOULIS[[#This Row],[Discount (%)]]) + KAZOULIS[[#This Row],[ΕΦΚ]]) * (1 + KAZOULIS[[#This Row],[TAX (%)]])</f>
        <v>5.8280000000000003</v>
      </c>
      <c r="M17" s="3"/>
    </row>
    <row r="18" spans="1:13" x14ac:dyDescent="0.3">
      <c r="A18" s="12">
        <v>46053</v>
      </c>
      <c r="B18" s="3">
        <v>738</v>
      </c>
      <c r="C18" s="3" t="s">
        <v>51</v>
      </c>
      <c r="D18" s="3" t="s">
        <v>52</v>
      </c>
      <c r="E18" s="3" t="s">
        <v>53</v>
      </c>
      <c r="F18" s="15">
        <v>6</v>
      </c>
      <c r="G18" s="19">
        <v>26.5</v>
      </c>
      <c r="H18" s="13">
        <f>KAZOULIS[[#This Row],[Quantity]]*KAZOULIS[[#This Row],[Unit Price]]</f>
        <v>159</v>
      </c>
      <c r="I18" s="4"/>
      <c r="J18" s="13">
        <v>18</v>
      </c>
      <c r="K18" s="4">
        <v>0.13</v>
      </c>
      <c r="L18" s="2">
        <f>(KAZOULIS[[#This Row],[Total]] * (1 - KAZOULIS[[#This Row],[Discount (%)]]) + KAZOULIS[[#This Row],[ΕΦΚ]]) * (1 + KAZOULIS[[#This Row],[TAX (%)]])</f>
        <v>200.01</v>
      </c>
      <c r="M18" s="3"/>
    </row>
    <row r="19" spans="1:13" s="24" customFormat="1" x14ac:dyDescent="0.3">
      <c r="A19" s="12">
        <v>46053</v>
      </c>
      <c r="B19" s="3">
        <v>738</v>
      </c>
      <c r="C19" s="3" t="s">
        <v>100</v>
      </c>
      <c r="D19" s="3" t="s">
        <v>54</v>
      </c>
      <c r="E19" s="3" t="s">
        <v>119</v>
      </c>
      <c r="F19" s="15">
        <v>1</v>
      </c>
      <c r="G19" s="19">
        <v>4.33</v>
      </c>
      <c r="H19" s="13">
        <f>KAZOULIS[[#This Row],[Quantity]]*KAZOULIS[[#This Row],[Unit Price]]</f>
        <v>4.33</v>
      </c>
      <c r="I19" s="4"/>
      <c r="J19" s="13"/>
      <c r="K19" s="4">
        <v>0.13</v>
      </c>
      <c r="L19" s="2">
        <f>(KAZOULIS[[#This Row],[Total]] * (1 - KAZOULIS[[#This Row],[Discount (%)]]) + KAZOULIS[[#This Row],[ΕΦΚ]]) * (1 + KAZOULIS[[#This Row],[TAX (%)]])</f>
        <v>4.8929</v>
      </c>
      <c r="M19" s="3"/>
    </row>
    <row r="20" spans="1:13" x14ac:dyDescent="0.3">
      <c r="A20" s="12">
        <v>46053</v>
      </c>
      <c r="B20" s="3">
        <v>738</v>
      </c>
      <c r="C20" s="3" t="s">
        <v>100</v>
      </c>
      <c r="D20" s="3" t="s">
        <v>55</v>
      </c>
      <c r="E20" s="3" t="s">
        <v>119</v>
      </c>
      <c r="F20" s="15">
        <v>1</v>
      </c>
      <c r="G20" s="19">
        <v>4.33</v>
      </c>
      <c r="H20" s="13">
        <f>KAZOULIS[[#This Row],[Quantity]]*KAZOULIS[[#This Row],[Unit Price]]</f>
        <v>4.33</v>
      </c>
      <c r="I20" s="4"/>
      <c r="J20" s="13"/>
      <c r="K20" s="4">
        <v>0.13</v>
      </c>
      <c r="L20" s="2">
        <f>(KAZOULIS[[#This Row],[Total]] * (1 - KAZOULIS[[#This Row],[Discount (%)]]) + KAZOULIS[[#This Row],[ΕΦΚ]]) * (1 + KAZOULIS[[#This Row],[TAX (%)]])</f>
        <v>4.8929</v>
      </c>
      <c r="M20" s="3"/>
    </row>
    <row r="21" spans="1:13" x14ac:dyDescent="0.3">
      <c r="A21" s="12">
        <v>46053</v>
      </c>
      <c r="B21" s="3">
        <v>738</v>
      </c>
      <c r="C21" s="3" t="s">
        <v>100</v>
      </c>
      <c r="D21" s="3" t="s">
        <v>66</v>
      </c>
      <c r="E21" s="3" t="s">
        <v>119</v>
      </c>
      <c r="F21" s="15">
        <v>1</v>
      </c>
      <c r="G21" s="19">
        <v>4.33</v>
      </c>
      <c r="H21" s="13">
        <f>KAZOULIS[[#This Row],[Quantity]]*KAZOULIS[[#This Row],[Unit Price]]</f>
        <v>4.33</v>
      </c>
      <c r="I21" s="4"/>
      <c r="J21" s="13"/>
      <c r="K21" s="4">
        <v>0.13</v>
      </c>
      <c r="L21" s="2">
        <f>(KAZOULIS[[#This Row],[Total]] * (1 - KAZOULIS[[#This Row],[Discount (%)]]) + KAZOULIS[[#This Row],[ΕΦΚ]]) * (1 + KAZOULIS[[#This Row],[TAX (%)]])</f>
        <v>4.8929</v>
      </c>
      <c r="M21" s="3"/>
    </row>
    <row r="22" spans="1:13" x14ac:dyDescent="0.3">
      <c r="A22" s="41">
        <v>46022</v>
      </c>
      <c r="B22" s="42">
        <v>504</v>
      </c>
      <c r="C22" s="42" t="s">
        <v>51</v>
      </c>
      <c r="D22" s="42" t="s">
        <v>52</v>
      </c>
      <c r="E22" s="42" t="s">
        <v>53</v>
      </c>
      <c r="F22" s="43">
        <v>3</v>
      </c>
      <c r="G22" s="44">
        <v>26.5</v>
      </c>
      <c r="H22" s="45">
        <f>KAZOULIS[[#This Row],[Quantity]]*KAZOULIS[[#This Row],[Unit Price]]</f>
        <v>79.5</v>
      </c>
      <c r="I22" s="46"/>
      <c r="J22" s="45">
        <v>9</v>
      </c>
      <c r="K22" s="46">
        <v>0.13</v>
      </c>
      <c r="L22" s="47">
        <f>(KAZOULIS[[#This Row],[Total]] * (1 - KAZOULIS[[#This Row],[Discount (%)]]) + KAZOULIS[[#This Row],[ΕΦΚ]]) * (1 + KAZOULIS[[#This Row],[TAX (%)]])</f>
        <v>100.005</v>
      </c>
      <c r="M22" s="3"/>
    </row>
    <row r="23" spans="1:13" x14ac:dyDescent="0.3">
      <c r="A23" s="12">
        <v>46022</v>
      </c>
      <c r="B23" s="3">
        <v>503</v>
      </c>
      <c r="C23" s="3" t="s">
        <v>51</v>
      </c>
      <c r="D23" s="3" t="s">
        <v>61</v>
      </c>
      <c r="E23" s="3" t="s">
        <v>42</v>
      </c>
      <c r="F23" s="15">
        <v>100</v>
      </c>
      <c r="G23" s="19">
        <v>0.42</v>
      </c>
      <c r="H23" s="13">
        <f>KAZOULIS[[#This Row],[Quantity]]*KAZOULIS[[#This Row],[Unit Price]]</f>
        <v>42</v>
      </c>
      <c r="I23" s="4"/>
      <c r="J23" s="13">
        <v>1.5</v>
      </c>
      <c r="K23" s="4">
        <v>0.13</v>
      </c>
      <c r="L23" s="2">
        <f>(KAZOULIS[[#This Row],[Total]] * (1 - KAZOULIS[[#This Row],[Discount (%)]]) + KAZOULIS[[#This Row],[ΕΦΚ]]) * (1 + KAZOULIS[[#This Row],[TAX (%)]])</f>
        <v>49.154999999999994</v>
      </c>
      <c r="M23" s="42"/>
    </row>
    <row r="24" spans="1:13" x14ac:dyDescent="0.3">
      <c r="A24" s="12">
        <v>46011</v>
      </c>
      <c r="B24" s="3">
        <v>419</v>
      </c>
      <c r="C24" s="3" t="s">
        <v>101</v>
      </c>
      <c r="D24" s="3" t="s">
        <v>65</v>
      </c>
      <c r="E24" s="3" t="s">
        <v>42</v>
      </c>
      <c r="F24" s="15">
        <v>1</v>
      </c>
      <c r="G24" s="19">
        <v>0</v>
      </c>
      <c r="H24" s="13">
        <f>KAZOULIS[[#This Row],[Quantity]]*KAZOULIS[[#This Row],[Unit Price]]</f>
        <v>0</v>
      </c>
      <c r="I24" s="4"/>
      <c r="J24" s="13"/>
      <c r="K24" s="4">
        <v>0.24</v>
      </c>
      <c r="L24" s="2">
        <f>(KAZOULIS[[#This Row],[Total]] * (1 - KAZOULIS[[#This Row],[Discount (%)]]) + KAZOULIS[[#This Row],[ΕΦΚ]]) * (1 + KAZOULIS[[#This Row],[TAX (%)]])</f>
        <v>0</v>
      </c>
      <c r="M24" s="3"/>
    </row>
    <row r="25" spans="1:13" x14ac:dyDescent="0.3">
      <c r="A25" s="12">
        <v>46011</v>
      </c>
      <c r="B25" s="3">
        <v>419</v>
      </c>
      <c r="C25" s="3" t="s">
        <v>101</v>
      </c>
      <c r="D25" s="3" t="s">
        <v>59</v>
      </c>
      <c r="E25" s="3" t="s">
        <v>42</v>
      </c>
      <c r="F25" s="15">
        <v>100</v>
      </c>
      <c r="G25" s="19">
        <v>4.2000000000000003E-2</v>
      </c>
      <c r="H25" s="13">
        <f>KAZOULIS[[#This Row],[Quantity]]*KAZOULIS[[#This Row],[Unit Price]]</f>
        <v>4.2</v>
      </c>
      <c r="I25" s="4"/>
      <c r="J25" s="13"/>
      <c r="K25" s="4">
        <v>0.24</v>
      </c>
      <c r="L25" s="2">
        <f>(KAZOULIS[[#This Row],[Total]] * (1 - KAZOULIS[[#This Row],[Discount (%)]]) + KAZOULIS[[#This Row],[ΕΦΚ]]) * (1 + KAZOULIS[[#This Row],[TAX (%)]])</f>
        <v>5.2080000000000002</v>
      </c>
      <c r="M25" s="3"/>
    </row>
    <row r="26" spans="1:13" x14ac:dyDescent="0.3">
      <c r="A26" s="12">
        <v>46011</v>
      </c>
      <c r="B26" s="3">
        <v>419</v>
      </c>
      <c r="C26" s="3" t="s">
        <v>77</v>
      </c>
      <c r="D26" s="3" t="s">
        <v>64</v>
      </c>
      <c r="E26" s="3" t="s">
        <v>42</v>
      </c>
      <c r="F26" s="15">
        <v>1</v>
      </c>
      <c r="G26" s="19">
        <v>0</v>
      </c>
      <c r="H26" s="13">
        <f>KAZOULIS[[#This Row],[Quantity]]*KAZOULIS[[#This Row],[Unit Price]]</f>
        <v>0</v>
      </c>
      <c r="I26" s="4"/>
      <c r="J26" s="13"/>
      <c r="K26" s="4">
        <v>0.13</v>
      </c>
      <c r="L26" s="2">
        <f>(KAZOULIS[[#This Row],[Total]] * (1 - KAZOULIS[[#This Row],[Discount (%)]]) + KAZOULIS[[#This Row],[ΕΦΚ]]) * (1 + KAZOULIS[[#This Row],[TAX (%)]])</f>
        <v>0</v>
      </c>
      <c r="M26" s="42"/>
    </row>
    <row r="27" spans="1:13" x14ac:dyDescent="0.3">
      <c r="A27" s="12">
        <v>45990</v>
      </c>
      <c r="B27" s="3">
        <v>247</v>
      </c>
      <c r="C27" s="3" t="s">
        <v>51</v>
      </c>
      <c r="D27" s="3" t="s">
        <v>63</v>
      </c>
      <c r="E27" s="3" t="s">
        <v>53</v>
      </c>
      <c r="F27" s="15">
        <v>1</v>
      </c>
      <c r="G27" s="19">
        <v>20.3</v>
      </c>
      <c r="H27" s="13">
        <f>KAZOULIS[[#This Row],[Quantity]]*KAZOULIS[[#This Row],[Unit Price]]</f>
        <v>20.3</v>
      </c>
      <c r="I27" s="4"/>
      <c r="J27" s="13">
        <v>2.4</v>
      </c>
      <c r="K27" s="4">
        <v>0.13</v>
      </c>
      <c r="L27" s="2">
        <f>(KAZOULIS[[#This Row],[Total]] * (1 - KAZOULIS[[#This Row],[Discount (%)]]) + KAZOULIS[[#This Row],[ΕΦΚ]]) * (1 + KAZOULIS[[#This Row],[TAX (%)]])</f>
        <v>25.650999999999996</v>
      </c>
      <c r="M27" s="3"/>
    </row>
    <row r="28" spans="1:13" x14ac:dyDescent="0.3">
      <c r="A28" s="12">
        <v>45989</v>
      </c>
      <c r="B28" s="3">
        <v>234</v>
      </c>
      <c r="C28" s="3" t="s">
        <v>51</v>
      </c>
      <c r="D28" s="3" t="s">
        <v>62</v>
      </c>
      <c r="E28" s="3" t="s">
        <v>53</v>
      </c>
      <c r="F28" s="15">
        <v>1</v>
      </c>
      <c r="G28" s="19">
        <v>17.440000000000001</v>
      </c>
      <c r="H28" s="13">
        <f>KAZOULIS[[#This Row],[Quantity]]*KAZOULIS[[#This Row],[Unit Price]]</f>
        <v>17.440000000000001</v>
      </c>
      <c r="I28" s="4"/>
      <c r="J28" s="13">
        <v>2.4</v>
      </c>
      <c r="K28" s="4">
        <v>0.13</v>
      </c>
      <c r="L28" s="2">
        <f>(KAZOULIS[[#This Row],[Total]] * (1 - KAZOULIS[[#This Row],[Discount (%)]]) + KAZOULIS[[#This Row],[ΕΦΚ]]) * (1 + KAZOULIS[[#This Row],[TAX (%)]])</f>
        <v>22.419199999999996</v>
      </c>
      <c r="M28" s="3"/>
    </row>
    <row r="29" spans="1:13" x14ac:dyDescent="0.3">
      <c r="A29" s="12">
        <v>45989</v>
      </c>
      <c r="B29" s="3">
        <v>234</v>
      </c>
      <c r="C29" s="3" t="s">
        <v>51</v>
      </c>
      <c r="D29" s="3" t="s">
        <v>52</v>
      </c>
      <c r="E29" s="3" t="s">
        <v>53</v>
      </c>
      <c r="F29" s="15">
        <v>6</v>
      </c>
      <c r="G29" s="19">
        <v>26.5</v>
      </c>
      <c r="H29" s="13">
        <f>KAZOULIS[[#This Row],[Quantity]]*KAZOULIS[[#This Row],[Unit Price]]</f>
        <v>159</v>
      </c>
      <c r="I29" s="4"/>
      <c r="J29" s="13">
        <v>18</v>
      </c>
      <c r="K29" s="4">
        <v>0.13</v>
      </c>
      <c r="L29" s="2">
        <f>(KAZOULIS[[#This Row],[Total]] * (1 - KAZOULIS[[#This Row],[Discount (%)]]) + KAZOULIS[[#This Row],[ΕΦΚ]]) * (1 + KAZOULIS[[#This Row],[TAX (%)]])</f>
        <v>200.01</v>
      </c>
      <c r="M29" s="3"/>
    </row>
    <row r="30" spans="1:13" x14ac:dyDescent="0.3">
      <c r="A30" s="12">
        <v>45975</v>
      </c>
      <c r="B30" s="3">
        <v>121</v>
      </c>
      <c r="C30" s="3" t="s">
        <v>51</v>
      </c>
      <c r="D30" s="3" t="s">
        <v>61</v>
      </c>
      <c r="E30" s="3" t="s">
        <v>42</v>
      </c>
      <c r="F30" s="15">
        <v>100</v>
      </c>
      <c r="G30" s="19">
        <v>0.42</v>
      </c>
      <c r="H30" s="13">
        <f>KAZOULIS[[#This Row],[Quantity]]*KAZOULIS[[#This Row],[Unit Price]]</f>
        <v>42</v>
      </c>
      <c r="I30" s="4"/>
      <c r="J30" s="13">
        <v>1.5</v>
      </c>
      <c r="K30" s="4">
        <v>0.13</v>
      </c>
      <c r="L30" s="2">
        <f>(KAZOULIS[[#This Row],[Total]] * (1 - KAZOULIS[[#This Row],[Discount (%)]]) + KAZOULIS[[#This Row],[ΕΦΚ]]) * (1 + KAZOULIS[[#This Row],[TAX (%)]])</f>
        <v>49.154999999999994</v>
      </c>
      <c r="M30" s="3"/>
    </row>
    <row r="31" spans="1:13" x14ac:dyDescent="0.3">
      <c r="A31" s="12">
        <v>45965</v>
      </c>
      <c r="B31" s="3">
        <v>24</v>
      </c>
      <c r="C31" s="3" t="s">
        <v>101</v>
      </c>
      <c r="D31" s="3" t="s">
        <v>68</v>
      </c>
      <c r="E31" s="3" t="s">
        <v>42</v>
      </c>
      <c r="F31" s="15">
        <v>50</v>
      </c>
      <c r="G31" s="19">
        <v>4.7E-2</v>
      </c>
      <c r="H31" s="13">
        <f>KAZOULIS[[#This Row],[Quantity]]*KAZOULIS[[#This Row],[Unit Price]]</f>
        <v>2.35</v>
      </c>
      <c r="I31" s="4"/>
      <c r="J31" s="13"/>
      <c r="K31" s="4">
        <v>0.24</v>
      </c>
      <c r="L31" s="2">
        <f>(KAZOULIS[[#This Row],[Total]] * (1 - KAZOULIS[[#This Row],[Discount (%)]]) + KAZOULIS[[#This Row],[ΕΦΚ]]) * (1 + KAZOULIS[[#This Row],[TAX (%)]])</f>
        <v>2.9140000000000001</v>
      </c>
      <c r="M31" s="3"/>
    </row>
    <row r="32" spans="1:13" x14ac:dyDescent="0.3">
      <c r="A32" s="12">
        <v>45965</v>
      </c>
      <c r="B32" s="3">
        <v>24</v>
      </c>
      <c r="C32" s="3" t="s">
        <v>101</v>
      </c>
      <c r="D32" s="3" t="s">
        <v>59</v>
      </c>
      <c r="E32" s="3" t="s">
        <v>42</v>
      </c>
      <c r="F32" s="15">
        <v>50</v>
      </c>
      <c r="G32" s="19">
        <v>4.2000000000000003E-2</v>
      </c>
      <c r="H32" s="13">
        <f>KAZOULIS[[#This Row],[Quantity]]*KAZOULIS[[#This Row],[Unit Price]]</f>
        <v>2.1</v>
      </c>
      <c r="I32" s="4"/>
      <c r="J32" s="13"/>
      <c r="K32" s="4">
        <v>0.24</v>
      </c>
      <c r="L32" s="2">
        <f>(KAZOULIS[[#This Row],[Total]] * (1 - KAZOULIS[[#This Row],[Discount (%)]]) + KAZOULIS[[#This Row],[ΕΦΚ]]) * (1 + KAZOULIS[[#This Row],[TAX (%)]])</f>
        <v>2.6040000000000001</v>
      </c>
      <c r="M32" s="3"/>
    </row>
    <row r="33" spans="1:13" x14ac:dyDescent="0.3">
      <c r="A33" s="12">
        <v>45965</v>
      </c>
      <c r="B33" s="3">
        <v>24</v>
      </c>
      <c r="C33" s="3" t="s">
        <v>51</v>
      </c>
      <c r="D33" s="3" t="s">
        <v>52</v>
      </c>
      <c r="E33" s="3" t="s">
        <v>53</v>
      </c>
      <c r="F33" s="15">
        <v>6</v>
      </c>
      <c r="G33" s="19">
        <v>26.5</v>
      </c>
      <c r="H33" s="13">
        <f>KAZOULIS[[#This Row],[Quantity]]*KAZOULIS[[#This Row],[Unit Price]]</f>
        <v>159</v>
      </c>
      <c r="I33" s="4"/>
      <c r="J33" s="13">
        <v>18</v>
      </c>
      <c r="K33" s="4">
        <v>0.13</v>
      </c>
      <c r="L33" s="2">
        <f>(KAZOULIS[[#This Row],[Total]] * (1 - KAZOULIS[[#This Row],[Discount (%)]]) + KAZOULIS[[#This Row],[ΕΦΚ]]) * (1 + KAZOULIS[[#This Row],[TAX (%)]])</f>
        <v>200.01</v>
      </c>
      <c r="M33" s="3"/>
    </row>
    <row r="34" spans="1:13" x14ac:dyDescent="0.3">
      <c r="A34" s="12">
        <v>45965</v>
      </c>
      <c r="B34" s="3">
        <v>24</v>
      </c>
      <c r="C34" s="3" t="s">
        <v>100</v>
      </c>
      <c r="D34" s="3" t="s">
        <v>58</v>
      </c>
      <c r="E34" s="3" t="s">
        <v>119</v>
      </c>
      <c r="F34" s="15">
        <v>1</v>
      </c>
      <c r="G34" s="19">
        <v>4.33</v>
      </c>
      <c r="H34" s="13">
        <f>KAZOULIS[[#This Row],[Quantity]]*KAZOULIS[[#This Row],[Unit Price]]</f>
        <v>4.33</v>
      </c>
      <c r="I34" s="4"/>
      <c r="J34" s="13"/>
      <c r="K34" s="4">
        <v>0.13</v>
      </c>
      <c r="L34" s="2">
        <f>(KAZOULIS[[#This Row],[Total]] * (1 - KAZOULIS[[#This Row],[Discount (%)]]) + KAZOULIS[[#This Row],[ΕΦΚ]]) * (1 + KAZOULIS[[#This Row],[TAX (%)]])</f>
        <v>4.8929</v>
      </c>
      <c r="M34" s="3"/>
    </row>
    <row r="35" spans="1:13" x14ac:dyDescent="0.3">
      <c r="A35" s="12">
        <v>45965</v>
      </c>
      <c r="B35" s="3">
        <v>24</v>
      </c>
      <c r="C35" s="3" t="s">
        <v>100</v>
      </c>
      <c r="D35" s="3" t="s">
        <v>54</v>
      </c>
      <c r="E35" s="3" t="s">
        <v>119</v>
      </c>
      <c r="F35" s="15">
        <v>1</v>
      </c>
      <c r="G35" s="19">
        <v>4.33</v>
      </c>
      <c r="H35" s="13">
        <f>KAZOULIS[[#This Row],[Quantity]]*KAZOULIS[[#This Row],[Unit Price]]</f>
        <v>4.33</v>
      </c>
      <c r="I35" s="4"/>
      <c r="J35" s="13"/>
      <c r="K35" s="4">
        <v>0.13</v>
      </c>
      <c r="L35" s="2">
        <f>(KAZOULIS[[#This Row],[Total]] * (1 - KAZOULIS[[#This Row],[Discount (%)]]) + KAZOULIS[[#This Row],[ΕΦΚ]]) * (1 + KAZOULIS[[#This Row],[TAX (%)]])</f>
        <v>4.8929</v>
      </c>
      <c r="M35" s="3"/>
    </row>
    <row r="36" spans="1:13" x14ac:dyDescent="0.3">
      <c r="A36" s="12">
        <v>45965</v>
      </c>
      <c r="B36" s="3">
        <v>24</v>
      </c>
      <c r="C36" s="3" t="s">
        <v>100</v>
      </c>
      <c r="D36" s="3" t="s">
        <v>55</v>
      </c>
      <c r="E36" s="3" t="s">
        <v>119</v>
      </c>
      <c r="F36" s="15">
        <v>1</v>
      </c>
      <c r="G36" s="19">
        <v>4.33</v>
      </c>
      <c r="H36" s="13">
        <f>KAZOULIS[[#This Row],[Quantity]]*KAZOULIS[[#This Row],[Unit Price]]</f>
        <v>4.33</v>
      </c>
      <c r="I36" s="4"/>
      <c r="J36" s="13"/>
      <c r="K36" s="4">
        <v>0.13</v>
      </c>
      <c r="L36" s="2">
        <f>(KAZOULIS[[#This Row],[Total]] * (1 - KAZOULIS[[#This Row],[Discount (%)]]) + KAZOULIS[[#This Row],[ΕΦΚ]]) * (1 + KAZOULIS[[#This Row],[TAX (%)]])</f>
        <v>4.8929</v>
      </c>
      <c r="M36" s="3"/>
    </row>
    <row r="37" spans="1:13" x14ac:dyDescent="0.3">
      <c r="A37" s="12">
        <v>45951</v>
      </c>
      <c r="B37" s="3">
        <v>3909</v>
      </c>
      <c r="C37" s="3" t="s">
        <v>101</v>
      </c>
      <c r="D37" s="3" t="s">
        <v>56</v>
      </c>
      <c r="E37" s="3" t="s">
        <v>42</v>
      </c>
      <c r="F37" s="15">
        <v>1</v>
      </c>
      <c r="G37" s="19">
        <v>12</v>
      </c>
      <c r="H37" s="13">
        <f>KAZOULIS[[#This Row],[Quantity]]*KAZOULIS[[#This Row],[Unit Price]]</f>
        <v>12</v>
      </c>
      <c r="I37" s="4"/>
      <c r="J37" s="13"/>
      <c r="K37" s="4">
        <v>0.24</v>
      </c>
      <c r="L37" s="2">
        <f>(KAZOULIS[[#This Row],[Total]] * (1 - KAZOULIS[[#This Row],[Discount (%)]]) + KAZOULIS[[#This Row],[ΕΦΚ]]) * (1 + KAZOULIS[[#This Row],[TAX (%)]])</f>
        <v>14.879999999999999</v>
      </c>
      <c r="M37" s="3"/>
    </row>
    <row r="38" spans="1:13" x14ac:dyDescent="0.3">
      <c r="A38" s="12">
        <v>45951</v>
      </c>
      <c r="B38" s="3">
        <v>3909</v>
      </c>
      <c r="C38" s="3" t="s">
        <v>77</v>
      </c>
      <c r="D38" s="3" t="s">
        <v>57</v>
      </c>
      <c r="E38" s="3" t="s">
        <v>43</v>
      </c>
      <c r="F38" s="15">
        <v>1</v>
      </c>
      <c r="G38" s="19">
        <v>18.850000000000001</v>
      </c>
      <c r="H38" s="13">
        <f>KAZOULIS[[#This Row],[Quantity]]*KAZOULIS[[#This Row],[Unit Price]]</f>
        <v>18.850000000000001</v>
      </c>
      <c r="I38" s="4"/>
      <c r="J38" s="13"/>
      <c r="K38" s="4">
        <v>0.13</v>
      </c>
      <c r="L38" s="2">
        <f>(KAZOULIS[[#This Row],[Total]] * (1 - KAZOULIS[[#This Row],[Discount (%)]]) + KAZOULIS[[#This Row],[ΕΦΚ]]) * (1 + KAZOULIS[[#This Row],[TAX (%)]])</f>
        <v>21.3005</v>
      </c>
      <c r="M38" s="3"/>
    </row>
    <row r="39" spans="1:13" x14ac:dyDescent="0.3">
      <c r="A39" s="12">
        <v>45951</v>
      </c>
      <c r="B39" s="3">
        <v>3909</v>
      </c>
      <c r="C39" s="3" t="s">
        <v>51</v>
      </c>
      <c r="D39" s="3" t="s">
        <v>52</v>
      </c>
      <c r="E39" s="3" t="s">
        <v>53</v>
      </c>
      <c r="F39" s="15">
        <v>4</v>
      </c>
      <c r="G39" s="19">
        <v>26.5</v>
      </c>
      <c r="H39" s="13">
        <f>KAZOULIS[[#This Row],[Quantity]]*KAZOULIS[[#This Row],[Unit Price]]</f>
        <v>106</v>
      </c>
      <c r="I39" s="4"/>
      <c r="J39" s="13">
        <v>12</v>
      </c>
      <c r="K39" s="4">
        <v>0.13</v>
      </c>
      <c r="L39" s="2">
        <f>(KAZOULIS[[#This Row],[Total]] * (1 - KAZOULIS[[#This Row],[Discount (%)]]) + KAZOULIS[[#This Row],[ΕΦΚ]]) * (1 + KAZOULIS[[#This Row],[TAX (%)]])</f>
        <v>133.33999999999997</v>
      </c>
      <c r="M39" s="3"/>
    </row>
    <row r="40" spans="1:13" x14ac:dyDescent="0.3">
      <c r="A40" s="12">
        <v>45951</v>
      </c>
      <c r="B40" s="3">
        <v>3909</v>
      </c>
      <c r="C40" s="3" t="s">
        <v>100</v>
      </c>
      <c r="D40" s="3" t="s">
        <v>54</v>
      </c>
      <c r="E40" s="3" t="s">
        <v>119</v>
      </c>
      <c r="F40" s="15">
        <v>1</v>
      </c>
      <c r="G40" s="19">
        <v>4.33</v>
      </c>
      <c r="H40" s="13">
        <f>KAZOULIS[[#This Row],[Quantity]]*KAZOULIS[[#This Row],[Unit Price]]</f>
        <v>4.33</v>
      </c>
      <c r="I40" s="4"/>
      <c r="J40" s="13"/>
      <c r="K40" s="4">
        <v>0.13</v>
      </c>
      <c r="L40" s="2">
        <f>(KAZOULIS[[#This Row],[Total]] * (1 - KAZOULIS[[#This Row],[Discount (%)]]) + KAZOULIS[[#This Row],[ΕΦΚ]]) * (1 + KAZOULIS[[#This Row],[TAX (%)]])</f>
        <v>4.8929</v>
      </c>
      <c r="M40" s="3"/>
    </row>
    <row r="41" spans="1:13" x14ac:dyDescent="0.3">
      <c r="A41" s="12">
        <v>45951</v>
      </c>
      <c r="B41" s="3">
        <v>3909</v>
      </c>
      <c r="C41" s="3" t="s">
        <v>100</v>
      </c>
      <c r="D41" s="3" t="s">
        <v>55</v>
      </c>
      <c r="E41" s="3" t="s">
        <v>119</v>
      </c>
      <c r="F41" s="15">
        <v>1</v>
      </c>
      <c r="G41" s="19">
        <v>4.33</v>
      </c>
      <c r="H41" s="13">
        <f>KAZOULIS[[#This Row],[Quantity]]*KAZOULIS[[#This Row],[Unit Price]]</f>
        <v>4.33</v>
      </c>
      <c r="I41" s="4"/>
      <c r="J41" s="13"/>
      <c r="K41" s="4">
        <v>0.13</v>
      </c>
      <c r="L41" s="2">
        <f>(KAZOULIS[[#This Row],[Total]] * (1 - KAZOULIS[[#This Row],[Discount (%)]]) + KAZOULIS[[#This Row],[ΕΦΚ]]) * (1 + KAZOULIS[[#This Row],[TAX (%)]])</f>
        <v>4.8929</v>
      </c>
      <c r="M41" s="3"/>
    </row>
  </sheetData>
  <dataConsolidate/>
  <phoneticPr fontId="5" type="noConversion"/>
  <dataValidations count="3">
    <dataValidation type="date" allowBlank="1" showInputMessage="1" showErrorMessage="1" sqref="A1:A41" xr:uid="{6DB1CA7F-8BE0-406F-933B-4274D70334E2}">
      <formula1>1</formula1>
      <formula2>401404</formula2>
    </dataValidation>
    <dataValidation type="list" showInputMessage="1" showErrorMessage="1" sqref="E1:E1048576" xr:uid="{28DDD07D-B0C1-4492-84A7-A241A73F16CD}">
      <formula1>"ΤΕΜ,ΚΙΒ,ΦΙΑ,ΚΙΛΑ,ΛΙΤΡΑ,ΠΑΚ,ΑΛΛΟ"</formula1>
    </dataValidation>
    <dataValidation type="list" showInputMessage="1" showErrorMessage="1" sqref="C1:C1048576" xr:uid="{87025209-DF36-4A9C-828A-6E5ECBFC4609}">
      <formula1>"COFFEE,BEVERAGE,WINE,BEER,FOOD,DAIRY,ALCOHOL,NON-FOOD"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1D22-1252-4D73-B119-DB1CE16D0C86}">
  <dimension ref="A1:M56"/>
  <sheetViews>
    <sheetView zoomScale="115" zoomScaleNormal="115" workbookViewId="0">
      <pane ySplit="1" topLeftCell="A2" activePane="bottomLeft" state="frozen"/>
      <selection pane="bottomLeft" activeCell="P9" sqref="P9"/>
    </sheetView>
  </sheetViews>
  <sheetFormatPr defaultColWidth="8.7265625" defaultRowHeight="12.5" x14ac:dyDescent="0.35"/>
  <cols>
    <col min="1" max="1" width="11.81640625" style="72" bestFit="1" customWidth="1"/>
    <col min="2" max="2" width="12.453125" style="72" bestFit="1" customWidth="1"/>
    <col min="3" max="3" width="11.1796875" style="72" bestFit="1" customWidth="1"/>
    <col min="4" max="4" width="50" style="72" bestFit="1" customWidth="1"/>
    <col min="5" max="5" width="7.7265625" style="72" bestFit="1" customWidth="1"/>
    <col min="6" max="6" width="11" style="72" bestFit="1" customWidth="1"/>
    <col min="7" max="7" width="13.453125" style="73" bestFit="1" customWidth="1"/>
    <col min="8" max="8" width="9.1796875" style="74" bestFit="1" customWidth="1"/>
    <col min="9" max="9" width="14.453125" style="75" bestFit="1" customWidth="1"/>
    <col min="10" max="10" width="8.54296875" style="74" bestFit="1" customWidth="1"/>
    <col min="11" max="11" width="10.1796875" style="75" bestFit="1" customWidth="1"/>
    <col min="12" max="12" width="12.26953125" style="76" bestFit="1" customWidth="1"/>
    <col min="13" max="13" width="9.1796875" style="72" bestFit="1" customWidth="1"/>
    <col min="14" max="16384" width="8.7265625" style="72"/>
  </cols>
  <sheetData>
    <row r="1" spans="1:13" s="66" customFormat="1" ht="13" x14ac:dyDescent="0.35">
      <c r="A1" s="66" t="s">
        <v>3</v>
      </c>
      <c r="B1" s="66" t="s">
        <v>98</v>
      </c>
      <c r="C1" s="66" t="s">
        <v>10</v>
      </c>
      <c r="D1" s="66" t="s">
        <v>97</v>
      </c>
      <c r="E1" s="66" t="s">
        <v>41</v>
      </c>
      <c r="F1" s="66" t="s">
        <v>4</v>
      </c>
      <c r="G1" s="67" t="s">
        <v>6</v>
      </c>
      <c r="H1" s="68" t="s">
        <v>5</v>
      </c>
      <c r="I1" s="69" t="s">
        <v>7</v>
      </c>
      <c r="J1" s="68" t="s">
        <v>60</v>
      </c>
      <c r="K1" s="69" t="s">
        <v>29</v>
      </c>
      <c r="L1" s="70" t="s">
        <v>11</v>
      </c>
      <c r="M1" s="66" t="s">
        <v>198</v>
      </c>
    </row>
    <row r="2" spans="1:13" x14ac:dyDescent="0.35">
      <c r="A2" s="71">
        <v>46130</v>
      </c>
      <c r="B2" s="72">
        <v>157</v>
      </c>
      <c r="C2" s="72" t="s">
        <v>45</v>
      </c>
      <c r="D2" s="72" t="s">
        <v>146</v>
      </c>
      <c r="E2" s="72" t="s">
        <v>43</v>
      </c>
      <c r="F2" s="72">
        <v>2</v>
      </c>
      <c r="G2" s="73">
        <v>21.5</v>
      </c>
      <c r="H2" s="74">
        <f>Table64[[#This Row],[Quantity]]*Table64[[#This Row],[Unit Price]]</f>
        <v>43</v>
      </c>
      <c r="K2" s="75">
        <v>0.24</v>
      </c>
      <c r="L2" s="76">
        <f>(Table64[[#This Row],[Total]] * (1 - Table64[[#This Row],[Discount (%)]]) + Table64[[#This Row],[ΕΦΚ]]) * (1 + Table64[[#This Row],[TAX (%)]])</f>
        <v>53.32</v>
      </c>
    </row>
    <row r="3" spans="1:13" x14ac:dyDescent="0.35">
      <c r="A3" s="71">
        <v>46130</v>
      </c>
      <c r="B3" s="72">
        <v>157</v>
      </c>
      <c r="C3" s="72" t="s">
        <v>45</v>
      </c>
      <c r="D3" s="72" t="s">
        <v>147</v>
      </c>
      <c r="E3" s="72" t="s">
        <v>43</v>
      </c>
      <c r="F3" s="72">
        <v>1</v>
      </c>
      <c r="G3" s="73">
        <v>29.5</v>
      </c>
      <c r="H3" s="74">
        <f>Table64[[#This Row],[Quantity]]*Table64[[#This Row],[Unit Price]]</f>
        <v>29.5</v>
      </c>
      <c r="K3" s="75">
        <v>0.24</v>
      </c>
      <c r="L3" s="76">
        <f>(Table64[[#This Row],[Total]] * (1 - Table64[[#This Row],[Discount (%)]]) + Table64[[#This Row],[ΕΦΚ]]) * (1 + Table64[[#This Row],[TAX (%)]])</f>
        <v>36.58</v>
      </c>
    </row>
    <row r="4" spans="1:13" x14ac:dyDescent="0.35">
      <c r="A4" s="71">
        <v>46130</v>
      </c>
      <c r="B4" s="72">
        <v>157</v>
      </c>
      <c r="C4" s="72" t="s">
        <v>100</v>
      </c>
      <c r="D4" s="72" t="s">
        <v>148</v>
      </c>
      <c r="E4" s="72" t="s">
        <v>43</v>
      </c>
      <c r="F4" s="72">
        <v>2</v>
      </c>
      <c r="G4" s="73">
        <v>21.6</v>
      </c>
      <c r="H4" s="74">
        <f>Table64[[#This Row],[Quantity]]*Table64[[#This Row],[Unit Price]]</f>
        <v>43.2</v>
      </c>
      <c r="K4" s="75">
        <v>0.13</v>
      </c>
      <c r="L4" s="76">
        <f>(Table64[[#This Row],[Total]] * (1 - Table64[[#This Row],[Discount (%)]]) + Table64[[#This Row],[ΕΦΚ]]) * (1 + Table64[[#This Row],[TAX (%)]])</f>
        <v>48.815999999999995</v>
      </c>
    </row>
    <row r="5" spans="1:13" x14ac:dyDescent="0.35">
      <c r="A5" s="71">
        <v>46130</v>
      </c>
      <c r="B5" s="72">
        <v>157</v>
      </c>
      <c r="C5" s="72" t="s">
        <v>100</v>
      </c>
      <c r="D5" s="72" t="s">
        <v>149</v>
      </c>
      <c r="E5" s="72" t="s">
        <v>43</v>
      </c>
      <c r="F5" s="72">
        <v>1</v>
      </c>
      <c r="G5" s="73">
        <v>11.2</v>
      </c>
      <c r="H5" s="74">
        <f>Table64[[#This Row],[Quantity]]*Table64[[#This Row],[Unit Price]]</f>
        <v>11.2</v>
      </c>
      <c r="K5" s="75">
        <v>0.13</v>
      </c>
      <c r="L5" s="76">
        <f>(Table64[[#This Row],[Total]] * (1 - Table64[[#This Row],[Discount (%)]]) + Table64[[#This Row],[ΕΦΚ]]) * (1 + Table64[[#This Row],[TAX (%)]])</f>
        <v>12.655999999999999</v>
      </c>
    </row>
    <row r="6" spans="1:13" x14ac:dyDescent="0.35">
      <c r="A6" s="71">
        <v>46130</v>
      </c>
      <c r="B6" s="72">
        <v>157</v>
      </c>
      <c r="C6" s="72" t="s">
        <v>100</v>
      </c>
      <c r="D6" s="72" t="s">
        <v>150</v>
      </c>
      <c r="E6" s="72" t="s">
        <v>43</v>
      </c>
      <c r="F6" s="72">
        <v>1</v>
      </c>
      <c r="G6" s="73">
        <v>17.3</v>
      </c>
      <c r="H6" s="74">
        <f>Table64[[#This Row],[Quantity]]*Table64[[#This Row],[Unit Price]]</f>
        <v>17.3</v>
      </c>
      <c r="K6" s="75">
        <v>0.13</v>
      </c>
      <c r="L6" s="76">
        <f>(Table64[[#This Row],[Total]] * (1 - Table64[[#This Row],[Discount (%)]]) + Table64[[#This Row],[ΕΦΚ]]) * (1 + Table64[[#This Row],[TAX (%)]])</f>
        <v>19.548999999999999</v>
      </c>
    </row>
    <row r="7" spans="1:13" x14ac:dyDescent="0.35">
      <c r="A7" s="71">
        <v>46130</v>
      </c>
      <c r="B7" s="72">
        <v>157</v>
      </c>
      <c r="C7" s="72" t="s">
        <v>100</v>
      </c>
      <c r="D7" s="72" t="s">
        <v>151</v>
      </c>
      <c r="E7" s="72" t="s">
        <v>49</v>
      </c>
      <c r="F7" s="72">
        <v>6</v>
      </c>
      <c r="G7" s="73">
        <v>3.5</v>
      </c>
      <c r="H7" s="74">
        <f>Table64[[#This Row],[Quantity]]*Table64[[#This Row],[Unit Price]]</f>
        <v>21</v>
      </c>
      <c r="K7" s="75">
        <v>0.13</v>
      </c>
      <c r="L7" s="76">
        <f>(Table64[[#This Row],[Total]] * (1 - Table64[[#This Row],[Discount (%)]]) + Table64[[#This Row],[ΕΦΚ]]) * (1 + Table64[[#This Row],[TAX (%)]])</f>
        <v>23.729999999999997</v>
      </c>
    </row>
    <row r="8" spans="1:13" x14ac:dyDescent="0.35">
      <c r="A8" s="71">
        <v>46130</v>
      </c>
      <c r="B8" s="72">
        <v>157</v>
      </c>
      <c r="C8" s="72" t="s">
        <v>101</v>
      </c>
      <c r="D8" s="72" t="s">
        <v>153</v>
      </c>
      <c r="E8" s="72" t="s">
        <v>42</v>
      </c>
      <c r="F8" s="72">
        <v>3</v>
      </c>
      <c r="G8" s="73">
        <v>2.93</v>
      </c>
      <c r="H8" s="74">
        <f>Table64[[#This Row],[Quantity]]*Table64[[#This Row],[Unit Price]]</f>
        <v>8.7900000000000009</v>
      </c>
      <c r="K8" s="75">
        <v>0</v>
      </c>
      <c r="L8" s="76">
        <f>(Table64[[#This Row],[Total]] * (1 - Table64[[#This Row],[Discount (%)]]) + Table64[[#This Row],[ΕΦΚ]]) * (1 + Table64[[#This Row],[TAX (%)]])</f>
        <v>8.7900000000000009</v>
      </c>
    </row>
    <row r="9" spans="1:13" x14ac:dyDescent="0.35">
      <c r="A9" s="71">
        <v>46130</v>
      </c>
      <c r="B9" s="72">
        <v>157</v>
      </c>
      <c r="C9" s="72" t="s">
        <v>101</v>
      </c>
      <c r="D9" s="72" t="s">
        <v>152</v>
      </c>
      <c r="E9" s="72" t="s">
        <v>49</v>
      </c>
      <c r="F9" s="72">
        <v>72</v>
      </c>
      <c r="G9" s="73">
        <v>0.11</v>
      </c>
      <c r="H9" s="74">
        <f>Table64[[#This Row],[Quantity]]*Table64[[#This Row],[Unit Price]]</f>
        <v>7.92</v>
      </c>
      <c r="K9" s="75">
        <v>0</v>
      </c>
      <c r="L9" s="76">
        <f>(Table64[[#This Row],[Total]] * (1 - Table64[[#This Row],[Discount (%)]]) + Table64[[#This Row],[ΕΦΚ]]) * (1 + Table64[[#This Row],[TAX (%)]])</f>
        <v>7.92</v>
      </c>
    </row>
    <row r="10" spans="1:13" x14ac:dyDescent="0.35">
      <c r="A10" s="71">
        <v>46130</v>
      </c>
      <c r="B10" s="72">
        <v>157</v>
      </c>
      <c r="C10" s="72" t="s">
        <v>101</v>
      </c>
      <c r="D10" s="72" t="s">
        <v>154</v>
      </c>
      <c r="E10" s="72" t="s">
        <v>43</v>
      </c>
      <c r="F10" s="72">
        <v>4</v>
      </c>
      <c r="G10" s="73">
        <v>4</v>
      </c>
      <c r="H10" s="74">
        <f>Table64[[#This Row],[Quantity]]*Table64[[#This Row],[Unit Price]]</f>
        <v>16</v>
      </c>
      <c r="K10" s="75">
        <v>0</v>
      </c>
      <c r="L10" s="76">
        <f>(Table64[[#This Row],[Total]] * (1 - Table64[[#This Row],[Discount (%)]]) + Table64[[#This Row],[ΕΦΚ]]) * (1 + Table64[[#This Row],[TAX (%)]])</f>
        <v>16</v>
      </c>
    </row>
    <row r="11" spans="1:13" x14ac:dyDescent="0.35">
      <c r="A11" s="71">
        <v>46129</v>
      </c>
      <c r="B11" s="72">
        <v>153</v>
      </c>
      <c r="C11" s="72" t="s">
        <v>30</v>
      </c>
      <c r="D11" s="72" t="s">
        <v>156</v>
      </c>
      <c r="E11" s="72" t="s">
        <v>49</v>
      </c>
      <c r="F11" s="72">
        <v>1</v>
      </c>
      <c r="G11" s="73">
        <v>4.0999999999999996</v>
      </c>
      <c r="H11" s="74">
        <f>Table64[[#This Row],[Quantity]]*Table64[[#This Row],[Unit Price]]</f>
        <v>4.0999999999999996</v>
      </c>
      <c r="K11" s="75">
        <v>0.24</v>
      </c>
      <c r="L11" s="76">
        <f>(Table64[[#This Row],[Total]] * (1 - Table64[[#This Row],[Discount (%)]]) + Table64[[#This Row],[ΕΦΚ]]) * (1 + Table64[[#This Row],[TAX (%)]])</f>
        <v>5.0839999999999996</v>
      </c>
    </row>
    <row r="12" spans="1:13" x14ac:dyDescent="0.35">
      <c r="A12" s="71">
        <v>46129</v>
      </c>
      <c r="B12" s="72">
        <v>153</v>
      </c>
      <c r="C12" s="72" t="s">
        <v>30</v>
      </c>
      <c r="D12" s="72" t="s">
        <v>157</v>
      </c>
      <c r="E12" s="72" t="s">
        <v>49</v>
      </c>
      <c r="F12" s="72">
        <v>1</v>
      </c>
      <c r="G12" s="73">
        <v>8.9</v>
      </c>
      <c r="H12" s="74">
        <f>Table64[[#This Row],[Quantity]]*Table64[[#This Row],[Unit Price]]</f>
        <v>8.9</v>
      </c>
      <c r="K12" s="75">
        <v>0.24</v>
      </c>
      <c r="L12" s="76">
        <f>(Table64[[#This Row],[Total]] * (1 - Table64[[#This Row],[Discount (%)]]) + Table64[[#This Row],[ΕΦΚ]]) * (1 + Table64[[#This Row],[TAX (%)]])</f>
        <v>11.036</v>
      </c>
    </row>
    <row r="13" spans="1:13" x14ac:dyDescent="0.35">
      <c r="A13" s="71">
        <v>46129</v>
      </c>
      <c r="B13" s="72">
        <v>153</v>
      </c>
      <c r="C13" s="72" t="s">
        <v>30</v>
      </c>
      <c r="D13" s="72" t="s">
        <v>158</v>
      </c>
      <c r="E13" s="72" t="s">
        <v>49</v>
      </c>
      <c r="F13" s="72">
        <v>2</v>
      </c>
      <c r="G13" s="73">
        <v>13.8</v>
      </c>
      <c r="H13" s="74">
        <f>Table64[[#This Row],[Quantity]]*Table64[[#This Row],[Unit Price]]</f>
        <v>27.6</v>
      </c>
      <c r="K13" s="75">
        <v>0.24</v>
      </c>
      <c r="L13" s="76">
        <f>(Table64[[#This Row],[Total]] * (1 - Table64[[#This Row],[Discount (%)]]) + Table64[[#This Row],[ΕΦΚ]]) * (1 + Table64[[#This Row],[TAX (%)]])</f>
        <v>34.224000000000004</v>
      </c>
    </row>
    <row r="14" spans="1:13" x14ac:dyDescent="0.35">
      <c r="A14" s="71">
        <v>46129</v>
      </c>
      <c r="B14" s="72">
        <v>153</v>
      </c>
      <c r="C14" s="72" t="s">
        <v>30</v>
      </c>
      <c r="D14" s="72" t="s">
        <v>163</v>
      </c>
      <c r="E14" s="72" t="s">
        <v>49</v>
      </c>
      <c r="F14" s="72">
        <v>1</v>
      </c>
      <c r="G14" s="73">
        <v>7.6</v>
      </c>
      <c r="H14" s="74">
        <f>Table64[[#This Row],[Quantity]]*Table64[[#This Row],[Unit Price]]</f>
        <v>7.6</v>
      </c>
      <c r="K14" s="75">
        <v>0.24</v>
      </c>
      <c r="L14" s="76">
        <f>(Table64[[#This Row],[Total]] * (1 - Table64[[#This Row],[Discount (%)]]) + Table64[[#This Row],[ΕΦΚ]]) * (1 + Table64[[#This Row],[TAX (%)]])</f>
        <v>9.4239999999999995</v>
      </c>
    </row>
    <row r="15" spans="1:13" x14ac:dyDescent="0.35">
      <c r="A15" s="71">
        <v>46129</v>
      </c>
      <c r="B15" s="72">
        <v>153</v>
      </c>
      <c r="C15" s="72" t="s">
        <v>30</v>
      </c>
      <c r="D15" s="72" t="s">
        <v>164</v>
      </c>
      <c r="E15" s="72" t="s">
        <v>49</v>
      </c>
      <c r="F15" s="72">
        <v>2</v>
      </c>
      <c r="G15" s="73">
        <v>11.9</v>
      </c>
      <c r="H15" s="74">
        <f>Table64[[#This Row],[Quantity]]*Table64[[#This Row],[Unit Price]]</f>
        <v>23.8</v>
      </c>
      <c r="K15" s="75">
        <v>0.24</v>
      </c>
      <c r="L15" s="76">
        <f>(Table64[[#This Row],[Total]] * (1 - Table64[[#This Row],[Discount (%)]]) + Table64[[#This Row],[ΕΦΚ]]) * (1 + Table64[[#This Row],[TAX (%)]])</f>
        <v>29.512</v>
      </c>
    </row>
    <row r="16" spans="1:13" x14ac:dyDescent="0.35">
      <c r="A16" s="71">
        <v>46129</v>
      </c>
      <c r="B16" s="72">
        <v>153</v>
      </c>
      <c r="C16" s="72" t="s">
        <v>30</v>
      </c>
      <c r="D16" s="72" t="s">
        <v>165</v>
      </c>
      <c r="E16" s="72" t="s">
        <v>49</v>
      </c>
      <c r="F16" s="72">
        <v>6</v>
      </c>
      <c r="G16" s="73">
        <v>8.3000000000000007</v>
      </c>
      <c r="H16" s="74">
        <f>Table64[[#This Row],[Quantity]]*Table64[[#This Row],[Unit Price]]</f>
        <v>49.800000000000004</v>
      </c>
      <c r="K16" s="75">
        <v>0.24</v>
      </c>
      <c r="L16" s="76">
        <f>(Table64[[#This Row],[Total]] * (1 - Table64[[#This Row],[Discount (%)]]) + Table64[[#This Row],[ΕΦΚ]]) * (1 + Table64[[#This Row],[TAX (%)]])</f>
        <v>61.752000000000002</v>
      </c>
    </row>
    <row r="17" spans="1:12" x14ac:dyDescent="0.35">
      <c r="A17" s="71">
        <v>46129</v>
      </c>
      <c r="B17" s="72">
        <v>153</v>
      </c>
      <c r="C17" s="72" t="s">
        <v>30</v>
      </c>
      <c r="D17" s="72" t="s">
        <v>159</v>
      </c>
      <c r="E17" s="72" t="s">
        <v>49</v>
      </c>
      <c r="F17" s="72">
        <v>2</v>
      </c>
      <c r="G17" s="73">
        <v>7.6</v>
      </c>
      <c r="H17" s="74">
        <f>Table64[[#This Row],[Quantity]]*Table64[[#This Row],[Unit Price]]</f>
        <v>15.2</v>
      </c>
      <c r="K17" s="75">
        <v>0.24</v>
      </c>
      <c r="L17" s="76">
        <f>(Table64[[#This Row],[Total]] * (1 - Table64[[#This Row],[Discount (%)]]) + Table64[[#This Row],[ΕΦΚ]]) * (1 + Table64[[#This Row],[TAX (%)]])</f>
        <v>18.847999999999999</v>
      </c>
    </row>
    <row r="18" spans="1:12" x14ac:dyDescent="0.35">
      <c r="A18" s="71">
        <v>46129</v>
      </c>
      <c r="B18" s="72">
        <v>153</v>
      </c>
      <c r="C18" s="72" t="s">
        <v>30</v>
      </c>
      <c r="D18" s="72" t="s">
        <v>166</v>
      </c>
      <c r="E18" s="72" t="s">
        <v>49</v>
      </c>
      <c r="F18" s="72">
        <v>3</v>
      </c>
      <c r="G18" s="73">
        <v>6.9</v>
      </c>
      <c r="H18" s="74">
        <f>Table64[[#This Row],[Quantity]]*Table64[[#This Row],[Unit Price]]</f>
        <v>20.700000000000003</v>
      </c>
      <c r="K18" s="75">
        <v>0.24</v>
      </c>
      <c r="L18" s="76">
        <f>(Table64[[#This Row],[Total]] * (1 - Table64[[#This Row],[Discount (%)]]) + Table64[[#This Row],[ΕΦΚ]]) * (1 + Table64[[#This Row],[TAX (%)]])</f>
        <v>25.668000000000003</v>
      </c>
    </row>
    <row r="19" spans="1:12" x14ac:dyDescent="0.35">
      <c r="A19" s="71">
        <v>46129</v>
      </c>
      <c r="B19" s="72">
        <v>153</v>
      </c>
      <c r="C19" s="72" t="s">
        <v>30</v>
      </c>
      <c r="D19" s="72" t="s">
        <v>167</v>
      </c>
      <c r="E19" s="72" t="s">
        <v>49</v>
      </c>
      <c r="F19" s="72">
        <v>1</v>
      </c>
      <c r="G19" s="73">
        <v>6.9</v>
      </c>
      <c r="H19" s="74">
        <f>Table64[[#This Row],[Quantity]]*Table64[[#This Row],[Unit Price]]</f>
        <v>6.9</v>
      </c>
      <c r="K19" s="75">
        <v>0.24</v>
      </c>
      <c r="L19" s="76">
        <f>(Table64[[#This Row],[Total]] * (1 - Table64[[#This Row],[Discount (%)]]) + Table64[[#This Row],[ΕΦΚ]]) * (1 + Table64[[#This Row],[TAX (%)]])</f>
        <v>8.5560000000000009</v>
      </c>
    </row>
    <row r="20" spans="1:12" x14ac:dyDescent="0.35">
      <c r="A20" s="71">
        <v>46129</v>
      </c>
      <c r="B20" s="72">
        <v>153</v>
      </c>
      <c r="C20" s="72" t="s">
        <v>30</v>
      </c>
      <c r="D20" s="72" t="s">
        <v>168</v>
      </c>
      <c r="E20" s="72" t="s">
        <v>42</v>
      </c>
      <c r="F20" s="72">
        <v>2</v>
      </c>
      <c r="G20" s="73">
        <v>10.5</v>
      </c>
      <c r="H20" s="74">
        <f>Table64[[#This Row],[Quantity]]*Table64[[#This Row],[Unit Price]]</f>
        <v>21</v>
      </c>
      <c r="K20" s="75">
        <v>0.24</v>
      </c>
      <c r="L20" s="76">
        <f>(Table64[[#This Row],[Total]] * (1 - Table64[[#This Row],[Discount (%)]]) + Table64[[#This Row],[ΕΦΚ]]) * (1 + Table64[[#This Row],[TAX (%)]])</f>
        <v>26.04</v>
      </c>
    </row>
    <row r="21" spans="1:12" x14ac:dyDescent="0.35">
      <c r="A21" s="71">
        <v>46129</v>
      </c>
      <c r="B21" s="72">
        <v>153</v>
      </c>
      <c r="C21" s="72" t="s">
        <v>30</v>
      </c>
      <c r="D21" s="72" t="s">
        <v>169</v>
      </c>
      <c r="E21" s="72" t="s">
        <v>49</v>
      </c>
      <c r="F21" s="72">
        <v>2</v>
      </c>
      <c r="G21" s="73">
        <v>9.9</v>
      </c>
      <c r="H21" s="74">
        <f>Table64[[#This Row],[Quantity]]*Table64[[#This Row],[Unit Price]]</f>
        <v>19.8</v>
      </c>
      <c r="K21" s="75">
        <v>0.24</v>
      </c>
      <c r="L21" s="76">
        <f>(Table64[[#This Row],[Total]] * (1 - Table64[[#This Row],[Discount (%)]]) + Table64[[#This Row],[ΕΦΚ]]) * (1 + Table64[[#This Row],[TAX (%)]])</f>
        <v>24.552</v>
      </c>
    </row>
    <row r="22" spans="1:12" x14ac:dyDescent="0.35">
      <c r="A22" s="71">
        <v>46129</v>
      </c>
      <c r="B22" s="72">
        <v>153</v>
      </c>
      <c r="C22" s="72" t="s">
        <v>30</v>
      </c>
      <c r="D22" s="72" t="s">
        <v>170</v>
      </c>
      <c r="E22" s="72" t="s">
        <v>49</v>
      </c>
      <c r="F22" s="72">
        <v>2</v>
      </c>
      <c r="G22" s="73">
        <v>8.6</v>
      </c>
      <c r="H22" s="74">
        <f>Table64[[#This Row],[Quantity]]*Table64[[#This Row],[Unit Price]]</f>
        <v>17.2</v>
      </c>
      <c r="K22" s="75">
        <v>0.24</v>
      </c>
      <c r="L22" s="76">
        <f>(Table64[[#This Row],[Total]] * (1 - Table64[[#This Row],[Discount (%)]]) + Table64[[#This Row],[ΕΦΚ]]) * (1 + Table64[[#This Row],[TAX (%)]])</f>
        <v>21.327999999999999</v>
      </c>
    </row>
    <row r="23" spans="1:12" x14ac:dyDescent="0.35">
      <c r="A23" s="71">
        <v>46129</v>
      </c>
      <c r="B23" s="72">
        <v>153</v>
      </c>
      <c r="C23" s="72" t="s">
        <v>30</v>
      </c>
      <c r="D23" s="72" t="s">
        <v>171</v>
      </c>
      <c r="E23" s="72" t="s">
        <v>49</v>
      </c>
      <c r="F23" s="72">
        <v>3</v>
      </c>
      <c r="G23" s="73">
        <v>11.3</v>
      </c>
      <c r="H23" s="74">
        <f>Table64[[#This Row],[Quantity]]*Table64[[#This Row],[Unit Price]]</f>
        <v>33.900000000000006</v>
      </c>
      <c r="K23" s="75">
        <v>0.24</v>
      </c>
      <c r="L23" s="76">
        <f>(Table64[[#This Row],[Total]] * (1 - Table64[[#This Row],[Discount (%)]]) + Table64[[#This Row],[ΕΦΚ]]) * (1 + Table64[[#This Row],[TAX (%)]])</f>
        <v>42.036000000000008</v>
      </c>
    </row>
    <row r="24" spans="1:12" x14ac:dyDescent="0.35">
      <c r="A24" s="71">
        <v>46129</v>
      </c>
      <c r="B24" s="72">
        <v>153</v>
      </c>
      <c r="C24" s="72" t="s">
        <v>30</v>
      </c>
      <c r="D24" s="72" t="s">
        <v>172</v>
      </c>
      <c r="E24" s="72" t="s">
        <v>49</v>
      </c>
      <c r="F24" s="72">
        <v>2</v>
      </c>
      <c r="G24" s="73">
        <v>6.9</v>
      </c>
      <c r="H24" s="74">
        <f>Table64[[#This Row],[Quantity]]*Table64[[#This Row],[Unit Price]]</f>
        <v>13.8</v>
      </c>
      <c r="K24" s="75">
        <v>0.24</v>
      </c>
      <c r="L24" s="76">
        <f>(Table64[[#This Row],[Total]] * (1 - Table64[[#This Row],[Discount (%)]]) + Table64[[#This Row],[ΕΦΚ]]) * (1 + Table64[[#This Row],[TAX (%)]])</f>
        <v>17.112000000000002</v>
      </c>
    </row>
    <row r="25" spans="1:12" x14ac:dyDescent="0.35">
      <c r="A25" s="71">
        <v>46129</v>
      </c>
      <c r="B25" s="72">
        <v>153</v>
      </c>
      <c r="C25" s="72" t="s">
        <v>30</v>
      </c>
      <c r="D25" s="72" t="s">
        <v>162</v>
      </c>
      <c r="E25" s="72" t="s">
        <v>42</v>
      </c>
      <c r="F25" s="72">
        <v>3</v>
      </c>
      <c r="G25" s="73">
        <v>9.9</v>
      </c>
      <c r="H25" s="74">
        <f>Table64[[#This Row],[Quantity]]*Table64[[#This Row],[Unit Price]]</f>
        <v>29.700000000000003</v>
      </c>
      <c r="K25" s="75">
        <v>0.24</v>
      </c>
      <c r="L25" s="76">
        <f>(Table64[[#This Row],[Total]] * (1 - Table64[[#This Row],[Discount (%)]]) + Table64[[#This Row],[ΕΦΚ]]) * (1 + Table64[[#This Row],[TAX (%)]])</f>
        <v>36.828000000000003</v>
      </c>
    </row>
    <row r="26" spans="1:12" x14ac:dyDescent="0.35">
      <c r="A26" s="71">
        <v>46129</v>
      </c>
      <c r="B26" s="72">
        <v>153</v>
      </c>
      <c r="C26" s="72" t="s">
        <v>30</v>
      </c>
      <c r="D26" s="72" t="s">
        <v>161</v>
      </c>
      <c r="E26" s="72" t="s">
        <v>49</v>
      </c>
      <c r="F26" s="72">
        <v>2</v>
      </c>
      <c r="G26" s="73">
        <v>10.9</v>
      </c>
      <c r="H26" s="74">
        <f>Table64[[#This Row],[Quantity]]*Table64[[#This Row],[Unit Price]]</f>
        <v>21.8</v>
      </c>
      <c r="K26" s="75">
        <v>0.24</v>
      </c>
      <c r="L26" s="76">
        <f>(Table64[[#This Row],[Total]] * (1 - Table64[[#This Row],[Discount (%)]]) + Table64[[#This Row],[ΕΦΚ]]) * (1 + Table64[[#This Row],[TAX (%)]])</f>
        <v>27.032</v>
      </c>
    </row>
    <row r="27" spans="1:12" x14ac:dyDescent="0.35">
      <c r="A27" s="71">
        <v>46129</v>
      </c>
      <c r="B27" s="72">
        <v>153</v>
      </c>
      <c r="C27" s="72" t="s">
        <v>30</v>
      </c>
      <c r="D27" s="72" t="s">
        <v>160</v>
      </c>
      <c r="E27" s="72" t="s">
        <v>49</v>
      </c>
      <c r="F27" s="72">
        <v>3</v>
      </c>
      <c r="G27" s="73">
        <v>9.9</v>
      </c>
      <c r="H27" s="74">
        <f>Table64[[#This Row],[Quantity]]*Table64[[#This Row],[Unit Price]]</f>
        <v>29.700000000000003</v>
      </c>
      <c r="K27" s="75">
        <v>0.24</v>
      </c>
      <c r="L27" s="76">
        <f>(Table64[[#This Row],[Total]] * (1 - Table64[[#This Row],[Discount (%)]]) + Table64[[#This Row],[ΕΦΚ]]) * (1 + Table64[[#This Row],[TAX (%)]])</f>
        <v>36.828000000000003</v>
      </c>
    </row>
    <row r="28" spans="1:12" x14ac:dyDescent="0.35">
      <c r="A28" s="71">
        <v>46129</v>
      </c>
      <c r="B28" s="72">
        <v>153</v>
      </c>
      <c r="C28" s="72" t="s">
        <v>30</v>
      </c>
      <c r="D28" s="72" t="s">
        <v>173</v>
      </c>
      <c r="E28" s="72" t="s">
        <v>49</v>
      </c>
      <c r="F28" s="72">
        <v>2</v>
      </c>
      <c r="G28" s="73">
        <v>9.9</v>
      </c>
      <c r="H28" s="74">
        <f>Table64[[#This Row],[Quantity]]*Table64[[#This Row],[Unit Price]]</f>
        <v>19.8</v>
      </c>
      <c r="K28" s="75">
        <v>0.24</v>
      </c>
      <c r="L28" s="76">
        <f>(Table64[[#This Row],[Total]] * (1 - Table64[[#This Row],[Discount (%)]]) + Table64[[#This Row],[ΕΦΚ]]) * (1 + Table64[[#This Row],[TAX (%)]])</f>
        <v>24.552</v>
      </c>
    </row>
    <row r="29" spans="1:12" x14ac:dyDescent="0.35">
      <c r="A29" s="71">
        <v>46129</v>
      </c>
      <c r="B29" s="72">
        <v>153</v>
      </c>
      <c r="C29" s="72" t="s">
        <v>174</v>
      </c>
      <c r="D29" s="72" t="s">
        <v>175</v>
      </c>
      <c r="E29" s="72" t="s">
        <v>49</v>
      </c>
      <c r="F29" s="72">
        <v>1</v>
      </c>
      <c r="G29" s="73">
        <v>27.5</v>
      </c>
      <c r="H29" s="74">
        <f>Table64[[#This Row],[Quantity]]*Table64[[#This Row],[Unit Price]]</f>
        <v>27.5</v>
      </c>
      <c r="K29" s="75">
        <v>0.24</v>
      </c>
      <c r="L29" s="76">
        <f>(Table64[[#This Row],[Total]] * (1 - Table64[[#This Row],[Discount (%)]]) + Table64[[#This Row],[ΕΦΚ]]) * (1 + Table64[[#This Row],[TAX (%)]])</f>
        <v>34.1</v>
      </c>
    </row>
    <row r="30" spans="1:12" x14ac:dyDescent="0.35">
      <c r="A30" s="71">
        <v>46129</v>
      </c>
      <c r="B30" s="72">
        <v>153</v>
      </c>
      <c r="C30" s="72" t="s">
        <v>174</v>
      </c>
      <c r="D30" s="72" t="s">
        <v>176</v>
      </c>
      <c r="E30" s="72" t="s">
        <v>49</v>
      </c>
      <c r="F30" s="72">
        <v>1</v>
      </c>
      <c r="G30" s="73">
        <v>20.399999999999999</v>
      </c>
      <c r="H30" s="74">
        <f>Table64[[#This Row],[Quantity]]*Table64[[#This Row],[Unit Price]]</f>
        <v>20.399999999999999</v>
      </c>
      <c r="K30" s="75">
        <v>0.24</v>
      </c>
      <c r="L30" s="76">
        <f>(Table64[[#This Row],[Total]] * (1 - Table64[[#This Row],[Discount (%)]]) + Table64[[#This Row],[ΕΦΚ]]) * (1 + Table64[[#This Row],[TAX (%)]])</f>
        <v>25.295999999999999</v>
      </c>
    </row>
    <row r="31" spans="1:12" x14ac:dyDescent="0.35">
      <c r="A31" s="71">
        <v>46129</v>
      </c>
      <c r="B31" s="72">
        <v>153</v>
      </c>
      <c r="C31" s="72" t="s">
        <v>174</v>
      </c>
      <c r="D31" s="72" t="s">
        <v>177</v>
      </c>
      <c r="E31" s="72" t="s">
        <v>49</v>
      </c>
      <c r="F31" s="72">
        <v>1</v>
      </c>
      <c r="G31" s="73">
        <v>24.2</v>
      </c>
      <c r="H31" s="74">
        <f>Table64[[#This Row],[Quantity]]*Table64[[#This Row],[Unit Price]]</f>
        <v>24.2</v>
      </c>
      <c r="K31" s="75">
        <v>0.24</v>
      </c>
      <c r="L31" s="76">
        <f>(Table64[[#This Row],[Total]] * (1 - Table64[[#This Row],[Discount (%)]]) + Table64[[#This Row],[ΕΦΚ]]) * (1 + Table64[[#This Row],[TAX (%)]])</f>
        <v>30.007999999999999</v>
      </c>
    </row>
    <row r="32" spans="1:12" x14ac:dyDescent="0.35">
      <c r="A32" s="71">
        <v>46129</v>
      </c>
      <c r="B32" s="72">
        <v>153</v>
      </c>
      <c r="C32" s="72" t="s">
        <v>174</v>
      </c>
      <c r="D32" s="72" t="s">
        <v>178</v>
      </c>
      <c r="E32" s="72" t="s">
        <v>49</v>
      </c>
      <c r="F32" s="72">
        <v>1</v>
      </c>
      <c r="G32" s="73">
        <v>25.3</v>
      </c>
      <c r="H32" s="74">
        <f>Table64[[#This Row],[Quantity]]*Table64[[#This Row],[Unit Price]]</f>
        <v>25.3</v>
      </c>
      <c r="K32" s="75">
        <v>0.24</v>
      </c>
      <c r="L32" s="76">
        <f>(Table64[[#This Row],[Total]] * (1 - Table64[[#This Row],[Discount (%)]]) + Table64[[#This Row],[ΕΦΚ]]) * (1 + Table64[[#This Row],[TAX (%)]])</f>
        <v>31.372</v>
      </c>
    </row>
    <row r="33" spans="1:12" x14ac:dyDescent="0.35">
      <c r="A33" s="71">
        <v>46129</v>
      </c>
      <c r="B33" s="72">
        <v>153</v>
      </c>
      <c r="C33" s="72" t="s">
        <v>174</v>
      </c>
      <c r="D33" s="72" t="s">
        <v>179</v>
      </c>
      <c r="E33" s="72" t="s">
        <v>49</v>
      </c>
      <c r="F33" s="72">
        <v>1</v>
      </c>
      <c r="G33" s="73">
        <v>22.3</v>
      </c>
      <c r="H33" s="74">
        <f>Table64[[#This Row],[Quantity]]*Table64[[#This Row],[Unit Price]]</f>
        <v>22.3</v>
      </c>
      <c r="K33" s="75">
        <v>0.24</v>
      </c>
      <c r="L33" s="76">
        <f>(Table64[[#This Row],[Total]] * (1 - Table64[[#This Row],[Discount (%)]]) + Table64[[#This Row],[ΕΦΚ]]) * (1 + Table64[[#This Row],[TAX (%)]])</f>
        <v>27.652000000000001</v>
      </c>
    </row>
    <row r="34" spans="1:12" x14ac:dyDescent="0.35">
      <c r="A34" s="71">
        <v>46129</v>
      </c>
      <c r="B34" s="72">
        <v>153</v>
      </c>
      <c r="C34" s="72" t="s">
        <v>174</v>
      </c>
      <c r="D34" s="72" t="s">
        <v>180</v>
      </c>
      <c r="E34" s="72" t="s">
        <v>49</v>
      </c>
      <c r="F34" s="72">
        <v>1</v>
      </c>
      <c r="G34" s="73">
        <v>22.4</v>
      </c>
      <c r="H34" s="74">
        <f>Table64[[#This Row],[Quantity]]*Table64[[#This Row],[Unit Price]]</f>
        <v>22.4</v>
      </c>
      <c r="K34" s="75">
        <v>0.24</v>
      </c>
      <c r="L34" s="76">
        <f>(Table64[[#This Row],[Total]] * (1 - Table64[[#This Row],[Discount (%)]]) + Table64[[#This Row],[ΕΦΚ]]) * (1 + Table64[[#This Row],[TAX (%)]])</f>
        <v>27.776</v>
      </c>
    </row>
    <row r="35" spans="1:12" x14ac:dyDescent="0.35">
      <c r="A35" s="71">
        <v>46129</v>
      </c>
      <c r="B35" s="72">
        <v>153</v>
      </c>
      <c r="C35" s="72" t="s">
        <v>174</v>
      </c>
      <c r="D35" s="72" t="s">
        <v>181</v>
      </c>
      <c r="E35" s="72" t="s">
        <v>49</v>
      </c>
      <c r="F35" s="72">
        <v>1</v>
      </c>
      <c r="G35" s="73">
        <v>17.5</v>
      </c>
      <c r="H35" s="74">
        <f>Table64[[#This Row],[Quantity]]*Table64[[#This Row],[Unit Price]]</f>
        <v>17.5</v>
      </c>
      <c r="K35" s="75">
        <v>0.24</v>
      </c>
      <c r="L35" s="76">
        <f>(Table64[[#This Row],[Total]] * (1 - Table64[[#This Row],[Discount (%)]]) + Table64[[#This Row],[ΕΦΚ]]) * (1 + Table64[[#This Row],[TAX (%)]])</f>
        <v>21.7</v>
      </c>
    </row>
    <row r="36" spans="1:12" x14ac:dyDescent="0.35">
      <c r="A36" s="71">
        <v>46129</v>
      </c>
      <c r="B36" s="72">
        <v>153</v>
      </c>
      <c r="C36" s="72" t="s">
        <v>174</v>
      </c>
      <c r="D36" s="72" t="s">
        <v>182</v>
      </c>
      <c r="E36" s="72" t="s">
        <v>49</v>
      </c>
      <c r="F36" s="72">
        <v>1</v>
      </c>
      <c r="G36" s="73">
        <v>17.399999999999999</v>
      </c>
      <c r="H36" s="74">
        <f>Table64[[#This Row],[Quantity]]*Table64[[#This Row],[Unit Price]]</f>
        <v>17.399999999999999</v>
      </c>
      <c r="K36" s="75">
        <v>0.24</v>
      </c>
      <c r="L36" s="76">
        <f>(Table64[[#This Row],[Total]] * (1 - Table64[[#This Row],[Discount (%)]]) + Table64[[#This Row],[ΕΦΚ]]) * (1 + Table64[[#This Row],[TAX (%)]])</f>
        <v>21.575999999999997</v>
      </c>
    </row>
    <row r="37" spans="1:12" x14ac:dyDescent="0.35">
      <c r="A37" s="71">
        <v>46129</v>
      </c>
      <c r="B37" s="72">
        <v>153</v>
      </c>
      <c r="C37" s="72" t="s">
        <v>174</v>
      </c>
      <c r="D37" s="72" t="s">
        <v>183</v>
      </c>
      <c r="E37" s="72" t="s">
        <v>49</v>
      </c>
      <c r="F37" s="72">
        <v>1</v>
      </c>
      <c r="G37" s="73">
        <v>16.3</v>
      </c>
      <c r="H37" s="74">
        <f>Table64[[#This Row],[Quantity]]*Table64[[#This Row],[Unit Price]]</f>
        <v>16.3</v>
      </c>
      <c r="K37" s="75">
        <v>0.24</v>
      </c>
      <c r="L37" s="76">
        <f>(Table64[[#This Row],[Total]] * (1 - Table64[[#This Row],[Discount (%)]]) + Table64[[#This Row],[ΕΦΚ]]) * (1 + Table64[[#This Row],[TAX (%)]])</f>
        <v>20.212</v>
      </c>
    </row>
    <row r="38" spans="1:12" x14ac:dyDescent="0.35">
      <c r="A38" s="71">
        <v>46129</v>
      </c>
      <c r="B38" s="72">
        <v>153</v>
      </c>
      <c r="C38" s="72" t="s">
        <v>174</v>
      </c>
      <c r="D38" s="72" t="s">
        <v>184</v>
      </c>
      <c r="E38" s="72" t="s">
        <v>49</v>
      </c>
      <c r="F38" s="72">
        <v>1</v>
      </c>
      <c r="G38" s="73">
        <v>16.899999999999999</v>
      </c>
      <c r="H38" s="74">
        <f>Table64[[#This Row],[Quantity]]*Table64[[#This Row],[Unit Price]]</f>
        <v>16.899999999999999</v>
      </c>
      <c r="K38" s="75">
        <v>0.24</v>
      </c>
      <c r="L38" s="76">
        <f>(Table64[[#This Row],[Total]] * (1 - Table64[[#This Row],[Discount (%)]]) + Table64[[#This Row],[ΕΦΚ]]) * (1 + Table64[[#This Row],[TAX (%)]])</f>
        <v>20.956</v>
      </c>
    </row>
    <row r="39" spans="1:12" x14ac:dyDescent="0.35">
      <c r="A39" s="71">
        <v>46118</v>
      </c>
      <c r="B39" s="72">
        <v>118</v>
      </c>
      <c r="C39" s="72" t="s">
        <v>30</v>
      </c>
      <c r="D39" s="72" t="s">
        <v>34</v>
      </c>
      <c r="E39" s="72" t="s">
        <v>49</v>
      </c>
      <c r="F39" s="72">
        <v>48</v>
      </c>
      <c r="G39" s="73">
        <v>1.45</v>
      </c>
      <c r="H39" s="74">
        <f>Table64[[#This Row],[Quantity]]*Table64[[#This Row],[Unit Price]]</f>
        <v>69.599999999999994</v>
      </c>
      <c r="K39" s="75">
        <v>0.24</v>
      </c>
      <c r="L39" s="76">
        <f>(Table64[[#This Row],[Total]] * (1 - Table64[[#This Row],[Discount (%)]]) + Table64[[#This Row],[ΕΦΚ]]) * (1 + Table64[[#This Row],[TAX (%)]])</f>
        <v>86.303999999999988</v>
      </c>
    </row>
    <row r="40" spans="1:12" x14ac:dyDescent="0.35">
      <c r="A40" s="71">
        <v>46116</v>
      </c>
      <c r="B40" s="72">
        <v>116</v>
      </c>
      <c r="C40" s="72" t="s">
        <v>100</v>
      </c>
      <c r="D40" s="72" t="s">
        <v>31</v>
      </c>
      <c r="E40" s="72" t="s">
        <v>42</v>
      </c>
      <c r="F40" s="72">
        <v>18</v>
      </c>
      <c r="G40" s="73">
        <v>3.3</v>
      </c>
      <c r="H40" s="74">
        <f>Table64[[#This Row],[Quantity]]*Table64[[#This Row],[Unit Price]]</f>
        <v>59.4</v>
      </c>
      <c r="K40" s="75">
        <v>0.13</v>
      </c>
      <c r="L40" s="76">
        <f>(Table64[[#This Row],[Total]] * (1 - Table64[[#This Row],[Discount (%)]]) + Table64[[#This Row],[ΕΦΚ]]) * (1 + Table64[[#This Row],[TAX (%)]])</f>
        <v>67.121999999999986</v>
      </c>
    </row>
    <row r="41" spans="1:12" x14ac:dyDescent="0.35">
      <c r="A41" s="71">
        <v>46116</v>
      </c>
      <c r="B41" s="72">
        <v>116</v>
      </c>
      <c r="C41" s="72" t="s">
        <v>45</v>
      </c>
      <c r="D41" s="72" t="s">
        <v>44</v>
      </c>
      <c r="E41" s="72" t="s">
        <v>43</v>
      </c>
      <c r="F41" s="72">
        <v>1</v>
      </c>
      <c r="G41" s="73">
        <v>31.7</v>
      </c>
      <c r="H41" s="74">
        <f>Table64[[#This Row],[Quantity]]*Table64[[#This Row],[Unit Price]]</f>
        <v>31.7</v>
      </c>
      <c r="K41" s="75">
        <v>0.24</v>
      </c>
      <c r="L41" s="76">
        <f>(Table64[[#This Row],[Total]] * (1 - Table64[[#This Row],[Discount (%)]]) + Table64[[#This Row],[ΕΦΚ]]) * (1 + Table64[[#This Row],[TAX (%)]])</f>
        <v>39.308</v>
      </c>
    </row>
    <row r="42" spans="1:12" x14ac:dyDescent="0.35">
      <c r="A42" s="71">
        <v>46116</v>
      </c>
      <c r="B42" s="72">
        <v>116</v>
      </c>
      <c r="C42" s="72" t="s">
        <v>45</v>
      </c>
      <c r="D42" s="72" t="s">
        <v>46</v>
      </c>
      <c r="E42" s="72" t="s">
        <v>43</v>
      </c>
      <c r="F42" s="72">
        <v>1</v>
      </c>
      <c r="G42" s="73">
        <v>28.16</v>
      </c>
      <c r="H42" s="74">
        <f>Table64[[#This Row],[Quantity]]*Table64[[#This Row],[Unit Price]]</f>
        <v>28.16</v>
      </c>
      <c r="K42" s="75">
        <v>0.24</v>
      </c>
      <c r="L42" s="76">
        <f>(Table64[[#This Row],[Total]] * (1 - Table64[[#This Row],[Discount (%)]]) + Table64[[#This Row],[ΕΦΚ]]) * (1 + Table64[[#This Row],[TAX (%)]])</f>
        <v>34.918399999999998</v>
      </c>
    </row>
    <row r="43" spans="1:12" x14ac:dyDescent="0.35">
      <c r="A43" s="71">
        <v>46116</v>
      </c>
      <c r="B43" s="72">
        <v>116</v>
      </c>
      <c r="C43" s="72" t="s">
        <v>101</v>
      </c>
      <c r="D43" s="72" t="s">
        <v>47</v>
      </c>
      <c r="E43" s="72" t="s">
        <v>43</v>
      </c>
      <c r="F43" s="72">
        <v>1</v>
      </c>
      <c r="G43" s="73">
        <v>3</v>
      </c>
      <c r="H43" s="74">
        <f>Table64[[#This Row],[Quantity]]*Table64[[#This Row],[Unit Price]]</f>
        <v>3</v>
      </c>
      <c r="K43" s="75">
        <v>0</v>
      </c>
      <c r="L43" s="76">
        <f>(Table64[[#This Row],[Total]] * (1 - Table64[[#This Row],[Discount (%)]]) + Table64[[#This Row],[ΕΦΚ]]) * (1 + Table64[[#This Row],[TAX (%)]])</f>
        <v>3</v>
      </c>
    </row>
    <row r="44" spans="1:12" x14ac:dyDescent="0.35">
      <c r="A44" s="71">
        <v>46116</v>
      </c>
      <c r="B44" s="72">
        <v>116</v>
      </c>
      <c r="C44" s="72" t="s">
        <v>101</v>
      </c>
      <c r="D44" s="72" t="s">
        <v>48</v>
      </c>
      <c r="E44" s="72" t="s">
        <v>49</v>
      </c>
      <c r="F44" s="72">
        <v>24</v>
      </c>
      <c r="G44" s="73">
        <v>0.11</v>
      </c>
      <c r="H44" s="74">
        <f>Table64[[#This Row],[Quantity]]*Table64[[#This Row],[Unit Price]]</f>
        <v>2.64</v>
      </c>
      <c r="K44" s="75">
        <v>0</v>
      </c>
      <c r="L44" s="76">
        <f>(Table64[[#This Row],[Total]] * (1 - Table64[[#This Row],[Discount (%)]]) + Table64[[#This Row],[ΕΦΚ]]) * (1 + Table64[[#This Row],[TAX (%)]])</f>
        <v>2.64</v>
      </c>
    </row>
    <row r="45" spans="1:12" x14ac:dyDescent="0.35">
      <c r="A45" s="71">
        <v>46105</v>
      </c>
      <c r="B45" s="72">
        <v>82</v>
      </c>
      <c r="C45" s="72" t="s">
        <v>30</v>
      </c>
      <c r="D45" s="72" t="s">
        <v>35</v>
      </c>
      <c r="E45" s="72" t="s">
        <v>49</v>
      </c>
      <c r="F45" s="72">
        <v>3</v>
      </c>
      <c r="G45" s="73">
        <v>9.5</v>
      </c>
      <c r="H45" s="74">
        <f>Table64[[#This Row],[Quantity]]*Table64[[#This Row],[Unit Price]]</f>
        <v>28.5</v>
      </c>
      <c r="K45" s="75">
        <v>0.24</v>
      </c>
      <c r="L45" s="76">
        <f>(Table64[[#This Row],[Total]] * (1 - Table64[[#This Row],[Discount (%)]]) + Table64[[#This Row],[ΕΦΚ]]) * (1 + Table64[[#This Row],[TAX (%)]])</f>
        <v>35.339999999999996</v>
      </c>
    </row>
    <row r="46" spans="1:12" x14ac:dyDescent="0.35">
      <c r="A46" s="71">
        <v>46105</v>
      </c>
      <c r="B46" s="72">
        <v>82</v>
      </c>
      <c r="C46" s="72" t="s">
        <v>30</v>
      </c>
      <c r="D46" s="72" t="s">
        <v>28</v>
      </c>
      <c r="E46" s="72" t="s">
        <v>49</v>
      </c>
      <c r="F46" s="72">
        <v>3</v>
      </c>
      <c r="G46" s="73">
        <v>6.25</v>
      </c>
      <c r="H46" s="74">
        <f>Table64[[#This Row],[Quantity]]*Table64[[#This Row],[Unit Price]]</f>
        <v>18.75</v>
      </c>
      <c r="K46" s="75">
        <v>0.24</v>
      </c>
      <c r="L46" s="76">
        <f>(Table64[[#This Row],[Total]] * (1 - Table64[[#This Row],[Discount (%)]]) + Table64[[#This Row],[ΕΦΚ]]) * (1 + Table64[[#This Row],[TAX (%)]])</f>
        <v>23.25</v>
      </c>
    </row>
    <row r="47" spans="1:12" x14ac:dyDescent="0.35">
      <c r="A47" s="71">
        <v>46105</v>
      </c>
      <c r="B47" s="72">
        <v>82</v>
      </c>
      <c r="C47" s="72" t="s">
        <v>30</v>
      </c>
      <c r="D47" s="72" t="s">
        <v>36</v>
      </c>
      <c r="E47" s="72" t="s">
        <v>49</v>
      </c>
      <c r="F47" s="72">
        <v>3</v>
      </c>
      <c r="G47" s="73">
        <v>11.9</v>
      </c>
      <c r="H47" s="74">
        <f>Table64[[#This Row],[Quantity]]*Table64[[#This Row],[Unit Price]]</f>
        <v>35.700000000000003</v>
      </c>
      <c r="K47" s="75">
        <v>0.24</v>
      </c>
      <c r="L47" s="76">
        <f>(Table64[[#This Row],[Total]] * (1 - Table64[[#This Row],[Discount (%)]]) + Table64[[#This Row],[ΕΦΚ]]) * (1 + Table64[[#This Row],[TAX (%)]])</f>
        <v>44.268000000000001</v>
      </c>
    </row>
    <row r="48" spans="1:12" x14ac:dyDescent="0.35">
      <c r="A48" s="71">
        <v>46105</v>
      </c>
      <c r="B48" s="72">
        <v>82</v>
      </c>
      <c r="C48" s="72" t="s">
        <v>30</v>
      </c>
      <c r="D48" s="72" t="s">
        <v>37</v>
      </c>
      <c r="E48" s="72" t="s">
        <v>49</v>
      </c>
      <c r="F48" s="72">
        <v>3</v>
      </c>
      <c r="G48" s="73">
        <v>11.9</v>
      </c>
      <c r="H48" s="74">
        <f>Table64[[#This Row],[Quantity]]*Table64[[#This Row],[Unit Price]]</f>
        <v>35.700000000000003</v>
      </c>
      <c r="K48" s="75">
        <v>0.24</v>
      </c>
      <c r="L48" s="76">
        <f>(Table64[[#This Row],[Total]] * (1 - Table64[[#This Row],[Discount (%)]]) + Table64[[#This Row],[ΕΦΚ]]) * (1 + Table64[[#This Row],[TAX (%)]])</f>
        <v>44.268000000000001</v>
      </c>
    </row>
    <row r="49" spans="1:12" x14ac:dyDescent="0.35">
      <c r="A49" s="71">
        <v>46105</v>
      </c>
      <c r="B49" s="72">
        <v>82</v>
      </c>
      <c r="C49" s="72" t="s">
        <v>30</v>
      </c>
      <c r="D49" s="72" t="s">
        <v>38</v>
      </c>
      <c r="E49" s="72" t="s">
        <v>49</v>
      </c>
      <c r="F49" s="72">
        <v>2</v>
      </c>
      <c r="G49" s="73">
        <v>22.9</v>
      </c>
      <c r="H49" s="74">
        <f>Table64[[#This Row],[Quantity]]*Table64[[#This Row],[Unit Price]]</f>
        <v>45.8</v>
      </c>
      <c r="K49" s="75">
        <v>0.24</v>
      </c>
      <c r="L49" s="76">
        <f>(Table64[[#This Row],[Total]] * (1 - Table64[[#This Row],[Discount (%)]]) + Table64[[#This Row],[ΕΦΚ]]) * (1 + Table64[[#This Row],[TAX (%)]])</f>
        <v>56.791999999999994</v>
      </c>
    </row>
    <row r="50" spans="1:12" x14ac:dyDescent="0.35">
      <c r="A50" s="71">
        <v>46105</v>
      </c>
      <c r="B50" s="72">
        <v>82</v>
      </c>
      <c r="C50" s="72" t="s">
        <v>30</v>
      </c>
      <c r="D50" s="72" t="s">
        <v>39</v>
      </c>
      <c r="E50" s="72" t="s">
        <v>49</v>
      </c>
      <c r="F50" s="72">
        <v>3</v>
      </c>
      <c r="G50" s="73">
        <v>15.9</v>
      </c>
      <c r="H50" s="74">
        <f>Table64[[#This Row],[Quantity]]*Table64[[#This Row],[Unit Price]]</f>
        <v>47.7</v>
      </c>
      <c r="K50" s="75">
        <v>0.24</v>
      </c>
      <c r="L50" s="76">
        <f>(Table64[[#This Row],[Total]] * (1 - Table64[[#This Row],[Discount (%)]]) + Table64[[#This Row],[ΕΦΚ]]) * (1 + Table64[[#This Row],[TAX (%)]])</f>
        <v>59.148000000000003</v>
      </c>
    </row>
    <row r="51" spans="1:12" x14ac:dyDescent="0.35">
      <c r="A51" s="71">
        <v>46105</v>
      </c>
      <c r="B51" s="72">
        <v>82</v>
      </c>
      <c r="C51" s="72" t="s">
        <v>30</v>
      </c>
      <c r="D51" s="72" t="s">
        <v>40</v>
      </c>
      <c r="E51" s="72" t="s">
        <v>49</v>
      </c>
      <c r="F51" s="72">
        <v>2</v>
      </c>
      <c r="G51" s="73">
        <v>18.399999999999999</v>
      </c>
      <c r="H51" s="74">
        <f>Table64[[#This Row],[Quantity]]*Table64[[#This Row],[Unit Price]]</f>
        <v>36.799999999999997</v>
      </c>
      <c r="K51" s="75">
        <v>0.24</v>
      </c>
      <c r="L51" s="76">
        <f>(Table64[[#This Row],[Total]] * (1 - Table64[[#This Row],[Discount (%)]]) + Table64[[#This Row],[ΕΦΚ]]) * (1 + Table64[[#This Row],[TAX (%)]])</f>
        <v>45.631999999999998</v>
      </c>
    </row>
    <row r="52" spans="1:12" x14ac:dyDescent="0.35">
      <c r="A52" s="71">
        <v>46001</v>
      </c>
      <c r="B52" s="72">
        <v>1825</v>
      </c>
      <c r="C52" s="72" t="s">
        <v>30</v>
      </c>
      <c r="D52" s="72" t="s">
        <v>33</v>
      </c>
      <c r="E52" s="72" t="s">
        <v>49</v>
      </c>
      <c r="F52" s="72">
        <v>24</v>
      </c>
      <c r="G52" s="73">
        <v>1.55</v>
      </c>
      <c r="H52" s="74">
        <f>Table64[[#This Row],[Quantity]]*Table64[[#This Row],[Unit Price]]</f>
        <v>37.200000000000003</v>
      </c>
      <c r="K52" s="75">
        <v>0.24</v>
      </c>
      <c r="L52" s="76">
        <f>(Table64[[#This Row],[Total]] * (1 - Table64[[#This Row],[Discount (%)]]) + Table64[[#This Row],[ΕΦΚ]]) * (1 + Table64[[#This Row],[TAX (%)]])</f>
        <v>46.128</v>
      </c>
    </row>
    <row r="53" spans="1:12" x14ac:dyDescent="0.35">
      <c r="A53" s="71">
        <v>45962</v>
      </c>
      <c r="B53" s="72">
        <v>1794</v>
      </c>
      <c r="C53" s="72" t="s">
        <v>30</v>
      </c>
      <c r="D53" s="72" t="s">
        <v>34</v>
      </c>
      <c r="E53" s="72" t="s">
        <v>49</v>
      </c>
      <c r="F53" s="72">
        <v>24</v>
      </c>
      <c r="G53" s="73">
        <v>1.45</v>
      </c>
      <c r="H53" s="74">
        <f>Table64[[#This Row],[Quantity]]*Table64[[#This Row],[Unit Price]]</f>
        <v>34.799999999999997</v>
      </c>
      <c r="K53" s="75">
        <v>0.24</v>
      </c>
      <c r="L53" s="76">
        <f>(Table64[[#This Row],[Total]] * (1 - Table64[[#This Row],[Discount (%)]]) + Table64[[#This Row],[ΕΦΚ]]) * (1 + Table64[[#This Row],[TAX (%)]])</f>
        <v>43.151999999999994</v>
      </c>
    </row>
    <row r="54" spans="1:12" x14ac:dyDescent="0.35">
      <c r="A54" s="71">
        <v>45962</v>
      </c>
      <c r="B54" s="72">
        <v>1794</v>
      </c>
      <c r="C54" s="72" t="s">
        <v>100</v>
      </c>
      <c r="D54" s="72" t="s">
        <v>31</v>
      </c>
      <c r="E54" s="72" t="s">
        <v>42</v>
      </c>
      <c r="F54" s="72">
        <v>6</v>
      </c>
      <c r="G54" s="73">
        <v>3.3</v>
      </c>
      <c r="H54" s="74">
        <f>Table64[[#This Row],[Quantity]]*Table64[[#This Row],[Unit Price]]</f>
        <v>19.799999999999997</v>
      </c>
      <c r="K54" s="75">
        <v>0.13</v>
      </c>
      <c r="L54" s="76">
        <f>(Table64[[#This Row],[Total]] * (1 - Table64[[#This Row],[Discount (%)]]) + Table64[[#This Row],[ΕΦΚ]]) * (1 + Table64[[#This Row],[TAX (%)]])</f>
        <v>22.373999999999995</v>
      </c>
    </row>
    <row r="55" spans="1:12" x14ac:dyDescent="0.35">
      <c r="A55" s="71">
        <v>45962</v>
      </c>
      <c r="B55" s="72">
        <v>1794</v>
      </c>
      <c r="C55" s="72" t="s">
        <v>30</v>
      </c>
      <c r="D55" s="72" t="s">
        <v>32</v>
      </c>
      <c r="E55" s="72" t="s">
        <v>49</v>
      </c>
      <c r="F55" s="72">
        <v>24</v>
      </c>
      <c r="G55" s="73">
        <v>1.55</v>
      </c>
      <c r="H55" s="74">
        <f>Table64[[#This Row],[Quantity]]*Table64[[#This Row],[Unit Price]]</f>
        <v>37.200000000000003</v>
      </c>
      <c r="K55" s="75">
        <v>0.24</v>
      </c>
      <c r="L55" s="76">
        <f>(Table64[[#This Row],[Total]] * (1 - Table64[[#This Row],[Discount (%)]]) + Table64[[#This Row],[ΕΦΚ]]) * (1 + Table64[[#This Row],[TAX (%)]])</f>
        <v>46.128</v>
      </c>
    </row>
    <row r="56" spans="1:12" x14ac:dyDescent="0.35">
      <c r="A56" s="71">
        <v>45954</v>
      </c>
      <c r="B56" s="72">
        <v>1777</v>
      </c>
      <c r="C56" s="72" t="s">
        <v>30</v>
      </c>
      <c r="D56" s="72" t="s">
        <v>28</v>
      </c>
      <c r="E56" s="72" t="s">
        <v>49</v>
      </c>
      <c r="F56" s="72">
        <v>1</v>
      </c>
      <c r="G56" s="73">
        <v>6.95</v>
      </c>
      <c r="H56" s="74">
        <f>Table64[[#This Row],[Quantity]]*Table64[[#This Row],[Unit Price]]</f>
        <v>6.95</v>
      </c>
      <c r="I56" s="75">
        <v>0.1</v>
      </c>
      <c r="K56" s="75">
        <v>0.24</v>
      </c>
      <c r="L56" s="76">
        <f>(Table64[[#This Row],[Total]] * (1 - Table64[[#This Row],[Discount (%)]]) + Table64[[#This Row],[ΕΦΚ]]) * (1 + Table64[[#This Row],[TAX (%)]])</f>
        <v>7.7561999999999998</v>
      </c>
    </row>
  </sheetData>
  <dataValidations count="3">
    <dataValidation type="date" allowBlank="1" showInputMessage="1" showErrorMessage="1" sqref="A1:A1048576" xr:uid="{23785277-5642-4E8F-9C07-CF85FE73ADBE}">
      <formula1>36161</formula1>
      <formula2>401404</formula2>
    </dataValidation>
    <dataValidation type="list" showInputMessage="1" showErrorMessage="1" sqref="E1:E1048576" xr:uid="{D8D24D04-C30B-4213-8C74-DC25C66AD296}">
      <formula1>"ΤΕΜ,ΚΙΒ,ΦΙΑ,ΚΙΛΑ,ΛΙΤΡΑ,ΠΑΚ,ΑΛΛΟ"</formula1>
    </dataValidation>
    <dataValidation type="list" showInputMessage="1" showErrorMessage="1" sqref="C1:C1048576" xr:uid="{E63B95AF-2682-4F29-8F52-A07D6CD5EEB9}">
      <formula1>"COFFEE,BEVERAGE,WINE,BEER,FOOD,DAIRY,ALCOHOL,NON-FOOD"</formula1>
    </dataValidation>
  </dataValidations>
  <pageMargins left="0.7" right="0.7" top="0.75" bottom="0.75" header="0.3" footer="0.3"/>
  <ignoredErrors>
    <ignoredError sqref="C1" listDataValidatio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4"/>
  <sheetViews>
    <sheetView workbookViewId="0">
      <pane ySplit="1" topLeftCell="A2" activePane="bottomLeft" state="frozen"/>
      <selection pane="bottomLeft" activeCell="D17" sqref="D17"/>
    </sheetView>
  </sheetViews>
  <sheetFormatPr defaultColWidth="10.453125" defaultRowHeight="14" x14ac:dyDescent="0.35"/>
  <cols>
    <col min="1" max="1" width="11.26953125" style="3" bestFit="1" customWidth="1"/>
    <col min="2" max="2" width="15.7265625" style="3" bestFit="1" customWidth="1"/>
    <col min="3" max="3" width="11.26953125" style="3" bestFit="1" customWidth="1"/>
    <col min="4" max="4" width="63.1796875" style="3" bestFit="1" customWidth="1"/>
    <col min="5" max="5" width="8" style="3" bestFit="1" customWidth="1"/>
    <col min="6" max="6" width="11.7265625" style="3" bestFit="1" customWidth="1"/>
    <col min="7" max="7" width="14.7265625" style="21" bestFit="1" customWidth="1"/>
    <col min="8" max="8" width="10.453125" style="3" bestFit="1" customWidth="1"/>
    <col min="9" max="9" width="16.26953125" style="4" bestFit="1" customWidth="1"/>
    <col min="10" max="10" width="8" style="3" bestFit="1" customWidth="1"/>
    <col min="11" max="11" width="11.26953125" style="4" bestFit="1" customWidth="1"/>
    <col min="12" max="12" width="13.54296875" style="3" bestFit="1" customWidth="1"/>
    <col min="13" max="13" width="12.26953125" style="3" bestFit="1" customWidth="1"/>
    <col min="14" max="16384" width="10.453125" style="3"/>
  </cols>
  <sheetData>
    <row r="1" spans="1:13" s="8" customFormat="1" x14ac:dyDescent="0.35">
      <c r="A1" s="8" t="s">
        <v>3</v>
      </c>
      <c r="B1" s="8" t="s">
        <v>8</v>
      </c>
      <c r="C1" s="8" t="s">
        <v>10</v>
      </c>
      <c r="D1" s="8" t="s">
        <v>97</v>
      </c>
      <c r="E1" s="3" t="s">
        <v>41</v>
      </c>
      <c r="F1" s="8" t="s">
        <v>4</v>
      </c>
      <c r="G1" s="22" t="s">
        <v>6</v>
      </c>
      <c r="H1" s="9" t="s">
        <v>5</v>
      </c>
      <c r="I1" s="10" t="s">
        <v>7</v>
      </c>
      <c r="J1" s="10" t="s">
        <v>60</v>
      </c>
      <c r="K1" s="10" t="s">
        <v>29</v>
      </c>
      <c r="L1" s="9" t="s">
        <v>11</v>
      </c>
      <c r="M1" s="14" t="s">
        <v>198</v>
      </c>
    </row>
    <row r="2" spans="1:13" ht="15" customHeight="1" x14ac:dyDescent="0.35">
      <c r="A2" s="12">
        <v>46123</v>
      </c>
      <c r="B2" s="6" t="s">
        <v>96</v>
      </c>
      <c r="C2" s="3" t="s">
        <v>77</v>
      </c>
      <c r="D2" s="3" t="s">
        <v>79</v>
      </c>
      <c r="E2" s="3" t="s">
        <v>42</v>
      </c>
      <c r="F2" s="3">
        <v>180</v>
      </c>
      <c r="G2" s="19">
        <v>1.3</v>
      </c>
      <c r="H2" s="2">
        <f>CHRISTODOULIDES[[#This Row],[Quantity]]*CHRISTODOULIDES[[#This Row],[Unit Price]]</f>
        <v>234</v>
      </c>
      <c r="I2" s="4">
        <v>0.2462</v>
      </c>
      <c r="J2" s="4"/>
      <c r="K2" s="4">
        <v>0.13</v>
      </c>
      <c r="L2" s="2">
        <f>(CHRISTODOULIDES[[#This Row],[Total]] * (1 - CHRISTODOULIDES[[#This Row],[Discount (%)]]) + CHRISTODOULIDES[[#This Row],[ΕΦΚ]]) * (1 + CHRISTODOULIDES[[#This Row],[TAX (%)]])</f>
        <v>199.319796</v>
      </c>
    </row>
    <row r="3" spans="1:13" ht="15" customHeight="1" x14ac:dyDescent="0.35">
      <c r="A3" s="12">
        <v>46123</v>
      </c>
      <c r="B3" s="6" t="s">
        <v>96</v>
      </c>
      <c r="C3" s="3" t="s">
        <v>77</v>
      </c>
      <c r="D3" s="3" t="s">
        <v>81</v>
      </c>
      <c r="E3" s="3" t="s">
        <v>42</v>
      </c>
      <c r="F3" s="3">
        <v>315</v>
      </c>
      <c r="G3" s="19">
        <v>0.48</v>
      </c>
      <c r="H3" s="2">
        <f>CHRISTODOULIDES[[#This Row],[Quantity]]*CHRISTODOULIDES[[#This Row],[Unit Price]]</f>
        <v>151.19999999999999</v>
      </c>
      <c r="I3" s="4">
        <v>0.35420000000000001</v>
      </c>
      <c r="J3" s="4"/>
      <c r="K3" s="4">
        <v>0.13</v>
      </c>
      <c r="L3" s="2">
        <f>(CHRISTODOULIDES[[#This Row],[Total]] * (1 - CHRISTODOULIDES[[#This Row],[Discount (%)]]) + CHRISTODOULIDES[[#This Row],[ΕΦΚ]]) * (1 + CHRISTODOULIDES[[#This Row],[TAX (%)]])</f>
        <v>110.33880479999998</v>
      </c>
    </row>
    <row r="4" spans="1:13" x14ac:dyDescent="0.35">
      <c r="A4" s="12">
        <v>46123</v>
      </c>
      <c r="B4" s="6" t="s">
        <v>96</v>
      </c>
      <c r="C4" s="3" t="s">
        <v>77</v>
      </c>
      <c r="D4" s="3" t="s">
        <v>90</v>
      </c>
      <c r="E4" s="3" t="s">
        <v>42</v>
      </c>
      <c r="F4" s="3">
        <v>160</v>
      </c>
      <c r="G4" s="19">
        <v>0.45</v>
      </c>
      <c r="H4" s="2">
        <f>CHRISTODOULIDES[[#This Row],[Quantity]]*CHRISTODOULIDES[[#This Row],[Unit Price]]</f>
        <v>72</v>
      </c>
      <c r="I4" s="4">
        <v>0.1111</v>
      </c>
      <c r="J4" s="4"/>
      <c r="K4" s="4">
        <v>0.13</v>
      </c>
      <c r="L4" s="2">
        <f>(CHRISTODOULIDES[[#This Row],[Total]] * (1 - CHRISTODOULIDES[[#This Row],[Discount (%)]]) + CHRISTODOULIDES[[#This Row],[ΕΦΚ]]) * (1 + CHRISTODOULIDES[[#This Row],[TAX (%)]])</f>
        <v>72.320903999999985</v>
      </c>
    </row>
    <row r="5" spans="1:13" x14ac:dyDescent="0.35">
      <c r="A5" s="12">
        <v>46123</v>
      </c>
      <c r="B5" s="6" t="s">
        <v>96</v>
      </c>
      <c r="C5" s="3" t="s">
        <v>77</v>
      </c>
      <c r="D5" s="3" t="s">
        <v>83</v>
      </c>
      <c r="E5" s="3" t="s">
        <v>42</v>
      </c>
      <c r="F5" s="3">
        <v>3</v>
      </c>
      <c r="G5" s="19">
        <v>2.65</v>
      </c>
      <c r="H5" s="2">
        <f>CHRISTODOULIDES[[#This Row],[Quantity]]*CHRISTODOULIDES[[#This Row],[Unit Price]]</f>
        <v>7.9499999999999993</v>
      </c>
      <c r="J5" s="4"/>
      <c r="K5" s="4">
        <v>0.13</v>
      </c>
      <c r="L5" s="2">
        <f>(CHRISTODOULIDES[[#This Row],[Total]] * (1 - CHRISTODOULIDES[[#This Row],[Discount (%)]]) + CHRISTODOULIDES[[#This Row],[ΕΦΚ]]) * (1 + CHRISTODOULIDES[[#This Row],[TAX (%)]])</f>
        <v>8.9834999999999976</v>
      </c>
    </row>
    <row r="6" spans="1:13" x14ac:dyDescent="0.35">
      <c r="A6" s="12">
        <v>46118</v>
      </c>
      <c r="B6" s="6" t="s">
        <v>95</v>
      </c>
      <c r="C6" s="3" t="s">
        <v>77</v>
      </c>
      <c r="D6" s="3" t="s">
        <v>81</v>
      </c>
      <c r="E6" s="3" t="s">
        <v>42</v>
      </c>
      <c r="F6" s="3">
        <v>105</v>
      </c>
      <c r="G6" s="19">
        <v>0.48</v>
      </c>
      <c r="H6" s="2">
        <f>CHRISTODOULIDES[[#This Row],[Quantity]]*CHRISTODOULIDES[[#This Row],[Unit Price]]</f>
        <v>50.4</v>
      </c>
      <c r="I6" s="4">
        <v>0.35</v>
      </c>
      <c r="J6" s="4"/>
      <c r="K6" s="4">
        <v>0.13</v>
      </c>
      <c r="L6" s="2">
        <f>(CHRISTODOULIDES[[#This Row],[Total]] * (1 - CHRISTODOULIDES[[#This Row],[Discount (%)]]) + CHRISTODOULIDES[[#This Row],[ΕΦΚ]]) * (1 + CHRISTODOULIDES[[#This Row],[TAX (%)]])</f>
        <v>37.018799999999992</v>
      </c>
    </row>
    <row r="7" spans="1:13" x14ac:dyDescent="0.35">
      <c r="A7" s="12">
        <v>46118</v>
      </c>
      <c r="B7" s="6" t="s">
        <v>95</v>
      </c>
      <c r="C7" s="3" t="s">
        <v>77</v>
      </c>
      <c r="D7" s="3" t="s">
        <v>79</v>
      </c>
      <c r="E7" s="3" t="s">
        <v>42</v>
      </c>
      <c r="F7" s="3">
        <v>60</v>
      </c>
      <c r="G7" s="19">
        <v>1.3</v>
      </c>
      <c r="H7" s="2">
        <f>CHRISTODOULIDES[[#This Row],[Quantity]]*CHRISTODOULIDES[[#This Row],[Unit Price]]</f>
        <v>78</v>
      </c>
      <c r="I7" s="4">
        <v>0.25</v>
      </c>
      <c r="J7" s="4"/>
      <c r="K7" s="4">
        <v>0.13</v>
      </c>
      <c r="L7" s="2">
        <f>(CHRISTODOULIDES[[#This Row],[Total]] * (1 - CHRISTODOULIDES[[#This Row],[Discount (%)]]) + CHRISTODOULIDES[[#This Row],[ΕΦΚ]]) * (1 + CHRISTODOULIDES[[#This Row],[TAX (%)]])</f>
        <v>66.10499999999999</v>
      </c>
    </row>
    <row r="8" spans="1:13" x14ac:dyDescent="0.35">
      <c r="A8" s="12">
        <v>46118</v>
      </c>
      <c r="B8" s="6" t="s">
        <v>95</v>
      </c>
      <c r="C8" s="3" t="s">
        <v>77</v>
      </c>
      <c r="D8" s="3" t="s">
        <v>90</v>
      </c>
      <c r="E8" s="3" t="s">
        <v>42</v>
      </c>
      <c r="F8" s="3">
        <v>40</v>
      </c>
      <c r="G8" s="19">
        <v>0.45</v>
      </c>
      <c r="H8" s="2">
        <f>CHRISTODOULIDES[[#This Row],[Quantity]]*CHRISTODOULIDES[[#This Row],[Unit Price]]</f>
        <v>18</v>
      </c>
      <c r="I8" s="4">
        <v>0.12</v>
      </c>
      <c r="J8" s="4"/>
      <c r="K8" s="4">
        <v>0.13</v>
      </c>
      <c r="L8" s="2">
        <f>(CHRISTODOULIDES[[#This Row],[Total]] * (1 - CHRISTODOULIDES[[#This Row],[Discount (%)]]) + CHRISTODOULIDES[[#This Row],[ΕΦΚ]]) * (1 + CHRISTODOULIDES[[#This Row],[TAX (%)]])</f>
        <v>17.899199999999997</v>
      </c>
    </row>
    <row r="9" spans="1:13" x14ac:dyDescent="0.35">
      <c r="A9" s="12">
        <v>46114</v>
      </c>
      <c r="B9" s="6" t="s">
        <v>94</v>
      </c>
      <c r="C9" s="3" t="s">
        <v>77</v>
      </c>
      <c r="D9" s="3" t="s">
        <v>81</v>
      </c>
      <c r="E9" s="3" t="s">
        <v>42</v>
      </c>
      <c r="F9" s="3">
        <v>105</v>
      </c>
      <c r="G9" s="19">
        <v>0.48</v>
      </c>
      <c r="H9" s="2">
        <f>CHRISTODOULIDES[[#This Row],[Quantity]]*CHRISTODOULIDES[[#This Row],[Unit Price]]</f>
        <v>50.4</v>
      </c>
      <c r="J9" s="4"/>
      <c r="K9" s="4">
        <v>0.13</v>
      </c>
      <c r="L9" s="2">
        <f>(CHRISTODOULIDES[[#This Row],[Total]] * (1 - CHRISTODOULIDES[[#This Row],[Discount (%)]]) + CHRISTODOULIDES[[#This Row],[ΕΦΚ]]) * (1 + CHRISTODOULIDES[[#This Row],[TAX (%)]])</f>
        <v>56.951999999999991</v>
      </c>
    </row>
    <row r="10" spans="1:13" x14ac:dyDescent="0.35">
      <c r="A10" s="12">
        <v>46114</v>
      </c>
      <c r="B10" s="6" t="s">
        <v>94</v>
      </c>
      <c r="C10" s="3" t="s">
        <v>77</v>
      </c>
      <c r="D10" s="3" t="s">
        <v>79</v>
      </c>
      <c r="E10" s="3" t="s">
        <v>42</v>
      </c>
      <c r="F10" s="3">
        <v>60</v>
      </c>
      <c r="G10" s="19">
        <v>1.3</v>
      </c>
      <c r="H10" s="2">
        <f>CHRISTODOULIDES[[#This Row],[Quantity]]*CHRISTODOULIDES[[#This Row],[Unit Price]]</f>
        <v>78</v>
      </c>
      <c r="I10" s="4">
        <v>0.15</v>
      </c>
      <c r="J10" s="4"/>
      <c r="K10" s="4">
        <v>0.13</v>
      </c>
      <c r="L10" s="2">
        <f>(CHRISTODOULIDES[[#This Row],[Total]] * (1 - CHRISTODOULIDES[[#This Row],[Discount (%)]]) + CHRISTODOULIDES[[#This Row],[ΕΦΚ]]) * (1 + CHRISTODOULIDES[[#This Row],[TAX (%)]])</f>
        <v>74.918999999999983</v>
      </c>
    </row>
    <row r="11" spans="1:13" x14ac:dyDescent="0.35">
      <c r="A11" s="12">
        <v>46114</v>
      </c>
      <c r="B11" s="6" t="s">
        <v>94</v>
      </c>
      <c r="C11" s="3" t="s">
        <v>77</v>
      </c>
      <c r="D11" s="3" t="s">
        <v>90</v>
      </c>
      <c r="E11" s="3" t="s">
        <v>42</v>
      </c>
      <c r="F11" s="3">
        <v>40</v>
      </c>
      <c r="G11" s="19">
        <v>0.45</v>
      </c>
      <c r="H11" s="2">
        <f>CHRISTODOULIDES[[#This Row],[Quantity]]*CHRISTODOULIDES[[#This Row],[Unit Price]]</f>
        <v>18</v>
      </c>
      <c r="J11" s="4"/>
      <c r="K11" s="4">
        <v>0.13</v>
      </c>
      <c r="L11" s="2">
        <f>(CHRISTODOULIDES[[#This Row],[Total]] * (1 - CHRISTODOULIDES[[#This Row],[Discount (%)]]) + CHRISTODOULIDES[[#This Row],[ΕΦΚ]]) * (1 + CHRISTODOULIDES[[#This Row],[TAX (%)]])</f>
        <v>20.339999999999996</v>
      </c>
    </row>
    <row r="12" spans="1:13" x14ac:dyDescent="0.35">
      <c r="A12" s="12">
        <v>46114</v>
      </c>
      <c r="B12" s="6" t="s">
        <v>94</v>
      </c>
      <c r="C12" s="3" t="s">
        <v>77</v>
      </c>
      <c r="D12" s="3" t="s">
        <v>83</v>
      </c>
      <c r="E12" s="3" t="s">
        <v>42</v>
      </c>
      <c r="F12" s="3">
        <v>2</v>
      </c>
      <c r="G12" s="19">
        <v>2.65</v>
      </c>
      <c r="H12" s="2">
        <f>CHRISTODOULIDES[[#This Row],[Quantity]]*CHRISTODOULIDES[[#This Row],[Unit Price]]</f>
        <v>5.3</v>
      </c>
      <c r="J12" s="4"/>
      <c r="K12" s="4">
        <v>0.13</v>
      </c>
      <c r="L12" s="2">
        <f>(CHRISTODOULIDES[[#This Row],[Total]] * (1 - CHRISTODOULIDES[[#This Row],[Discount (%)]]) + CHRISTODOULIDES[[#This Row],[ΕΦΚ]]) * (1 + CHRISTODOULIDES[[#This Row],[TAX (%)]])</f>
        <v>5.988999999999999</v>
      </c>
    </row>
    <row r="13" spans="1:13" x14ac:dyDescent="0.35">
      <c r="A13" s="12">
        <v>46112</v>
      </c>
      <c r="B13" s="6" t="s">
        <v>91</v>
      </c>
      <c r="C13" s="3" t="s">
        <v>77</v>
      </c>
      <c r="D13" s="3" t="s">
        <v>92</v>
      </c>
      <c r="E13" s="3" t="s">
        <v>42</v>
      </c>
      <c r="F13" s="3">
        <v>45</v>
      </c>
      <c r="G13" s="19">
        <v>0.56999999999999995</v>
      </c>
      <c r="H13" s="2">
        <f>CHRISTODOULIDES[[#This Row],[Quantity]]*CHRISTODOULIDES[[#This Row],[Unit Price]]</f>
        <v>25.65</v>
      </c>
      <c r="I13" s="4">
        <v>0.2</v>
      </c>
      <c r="J13" s="4"/>
      <c r="K13" s="4">
        <v>0.13</v>
      </c>
      <c r="L13" s="2">
        <f>(CHRISTODOULIDES[[#This Row],[Total]] * (1 - CHRISTODOULIDES[[#This Row],[Discount (%)]]) + CHRISTODOULIDES[[#This Row],[ΕΦΚ]]) * (1 + CHRISTODOULIDES[[#This Row],[TAX (%)]])</f>
        <v>23.187599999999996</v>
      </c>
    </row>
    <row r="14" spans="1:13" x14ac:dyDescent="0.35">
      <c r="A14" s="12">
        <v>46112</v>
      </c>
      <c r="B14" s="6" t="s">
        <v>91</v>
      </c>
      <c r="C14" s="3" t="s">
        <v>77</v>
      </c>
      <c r="D14" s="3" t="s">
        <v>93</v>
      </c>
      <c r="E14" s="3" t="s">
        <v>42</v>
      </c>
      <c r="F14" s="3">
        <v>60</v>
      </c>
      <c r="G14" s="19">
        <v>0.56999999999999995</v>
      </c>
      <c r="H14" s="2">
        <f>CHRISTODOULIDES[[#This Row],[Quantity]]*CHRISTODOULIDES[[#This Row],[Unit Price]]</f>
        <v>34.199999999999996</v>
      </c>
      <c r="I14" s="4">
        <v>0.2</v>
      </c>
      <c r="J14" s="4"/>
      <c r="K14" s="4">
        <v>0.13</v>
      </c>
      <c r="L14" s="2">
        <f>(CHRISTODOULIDES[[#This Row],[Total]] * (1 - CHRISTODOULIDES[[#This Row],[Discount (%)]]) + CHRISTODOULIDES[[#This Row],[ΕΦΚ]]) * (1 + CHRISTODOULIDES[[#This Row],[TAX (%)]])</f>
        <v>30.916799999999995</v>
      </c>
    </row>
    <row r="15" spans="1:13" x14ac:dyDescent="0.35">
      <c r="A15" s="12">
        <v>46109</v>
      </c>
      <c r="B15" s="6" t="s">
        <v>88</v>
      </c>
      <c r="C15" s="3" t="s">
        <v>77</v>
      </c>
      <c r="D15" s="3" t="s">
        <v>90</v>
      </c>
      <c r="E15" s="3" t="s">
        <v>42</v>
      </c>
      <c r="F15" s="3">
        <v>40</v>
      </c>
      <c r="G15" s="19">
        <v>0.45</v>
      </c>
      <c r="H15" s="2">
        <f>CHRISTODOULIDES[[#This Row],[Quantity]]*CHRISTODOULIDES[[#This Row],[Unit Price]]</f>
        <v>18</v>
      </c>
      <c r="J15" s="4"/>
      <c r="K15" s="4">
        <v>0.13</v>
      </c>
      <c r="L15" s="2">
        <f>(CHRISTODOULIDES[[#This Row],[Total]] * (1 - CHRISTODOULIDES[[#This Row],[Discount (%)]]) + CHRISTODOULIDES[[#This Row],[ΕΦΚ]]) * (1 + CHRISTODOULIDES[[#This Row],[TAX (%)]])</f>
        <v>20.339999999999996</v>
      </c>
    </row>
    <row r="16" spans="1:13" x14ac:dyDescent="0.35">
      <c r="A16" s="12">
        <v>46109</v>
      </c>
      <c r="B16" s="6" t="s">
        <v>88</v>
      </c>
      <c r="C16" s="3" t="s">
        <v>77</v>
      </c>
      <c r="D16" s="3" t="s">
        <v>79</v>
      </c>
      <c r="E16" s="3" t="s">
        <v>42</v>
      </c>
      <c r="F16" s="3">
        <v>60</v>
      </c>
      <c r="G16" s="19">
        <v>1.3</v>
      </c>
      <c r="H16" s="2">
        <f>CHRISTODOULIDES[[#This Row],[Quantity]]*CHRISTODOULIDES[[#This Row],[Unit Price]]</f>
        <v>78</v>
      </c>
      <c r="I16" s="4">
        <v>0.15</v>
      </c>
      <c r="J16" s="4"/>
      <c r="K16" s="4">
        <v>0.13</v>
      </c>
      <c r="L16" s="2">
        <f>(CHRISTODOULIDES[[#This Row],[Total]] * (1 - CHRISTODOULIDES[[#This Row],[Discount (%)]]) + CHRISTODOULIDES[[#This Row],[ΕΦΚ]]) * (1 + CHRISTODOULIDES[[#This Row],[TAX (%)]])</f>
        <v>74.918999999999983</v>
      </c>
    </row>
    <row r="17" spans="1:12" x14ac:dyDescent="0.35">
      <c r="A17" s="12">
        <v>46109</v>
      </c>
      <c r="B17" s="6" t="s">
        <v>88</v>
      </c>
      <c r="C17" s="3" t="s">
        <v>77</v>
      </c>
      <c r="D17" s="3" t="s">
        <v>83</v>
      </c>
      <c r="E17" s="3" t="s">
        <v>42</v>
      </c>
      <c r="F17" s="3">
        <v>2</v>
      </c>
      <c r="G17" s="19">
        <v>2.65</v>
      </c>
      <c r="H17" s="2">
        <f>CHRISTODOULIDES[[#This Row],[Quantity]]*CHRISTODOULIDES[[#This Row],[Unit Price]]</f>
        <v>5.3</v>
      </c>
      <c r="J17" s="4"/>
      <c r="K17" s="4">
        <v>0.13</v>
      </c>
      <c r="L17" s="2">
        <f>(CHRISTODOULIDES[[#This Row],[Total]] * (1 - CHRISTODOULIDES[[#This Row],[Discount (%)]]) + CHRISTODOULIDES[[#This Row],[ΕΦΚ]]) * (1 + CHRISTODOULIDES[[#This Row],[TAX (%)]])</f>
        <v>5.988999999999999</v>
      </c>
    </row>
    <row r="18" spans="1:12" x14ac:dyDescent="0.35">
      <c r="A18" s="12">
        <v>46109</v>
      </c>
      <c r="B18" s="6" t="s">
        <v>88</v>
      </c>
      <c r="C18" s="3" t="s">
        <v>77</v>
      </c>
      <c r="D18" s="3" t="s">
        <v>81</v>
      </c>
      <c r="E18" s="3" t="s">
        <v>42</v>
      </c>
      <c r="F18" s="3">
        <v>105</v>
      </c>
      <c r="G18" s="19">
        <v>0.48</v>
      </c>
      <c r="H18" s="2">
        <f>CHRISTODOULIDES[[#This Row],[Quantity]]*CHRISTODOULIDES[[#This Row],[Unit Price]]</f>
        <v>50.4</v>
      </c>
      <c r="J18" s="4"/>
      <c r="K18" s="4">
        <v>0.13</v>
      </c>
      <c r="L18" s="2">
        <f>(CHRISTODOULIDES[[#This Row],[Total]] * (1 - CHRISTODOULIDES[[#This Row],[Discount (%)]]) + CHRISTODOULIDES[[#This Row],[ΕΦΚ]]) * (1 + CHRISTODOULIDES[[#This Row],[TAX (%)]])</f>
        <v>56.951999999999991</v>
      </c>
    </row>
    <row r="19" spans="1:12" x14ac:dyDescent="0.35">
      <c r="A19" s="12">
        <v>46101</v>
      </c>
      <c r="B19" s="6" t="s">
        <v>87</v>
      </c>
      <c r="C19" s="3" t="s">
        <v>77</v>
      </c>
      <c r="D19" s="3" t="s">
        <v>73</v>
      </c>
      <c r="E19" s="3" t="s">
        <v>42</v>
      </c>
      <c r="F19" s="3">
        <v>40</v>
      </c>
      <c r="G19" s="19">
        <v>0.76200000000000001</v>
      </c>
      <c r="H19" s="2">
        <f>CHRISTODOULIDES[[#This Row],[Quantity]]*CHRISTODOULIDES[[#This Row],[Unit Price]]</f>
        <v>30.48</v>
      </c>
      <c r="I19" s="4">
        <v>0.1</v>
      </c>
      <c r="J19" s="4"/>
      <c r="K19" s="4">
        <v>0.13</v>
      </c>
      <c r="L19" s="2">
        <f>(CHRISTODOULIDES[[#This Row],[Total]] * (1 - CHRISTODOULIDES[[#This Row],[Discount (%)]]) + CHRISTODOULIDES[[#This Row],[ΕΦΚ]]) * (1 + CHRISTODOULIDES[[#This Row],[TAX (%)]])</f>
        <v>30.998159999999999</v>
      </c>
    </row>
    <row r="20" spans="1:12" x14ac:dyDescent="0.35">
      <c r="A20" s="12">
        <v>46101</v>
      </c>
      <c r="B20" s="6" t="s">
        <v>87</v>
      </c>
      <c r="C20" s="3" t="s">
        <v>77</v>
      </c>
      <c r="D20" s="3" t="s">
        <v>81</v>
      </c>
      <c r="E20" s="3" t="s">
        <v>42</v>
      </c>
      <c r="F20" s="3">
        <v>105</v>
      </c>
      <c r="G20" s="19">
        <v>0.48</v>
      </c>
      <c r="H20" s="2">
        <f>CHRISTODOULIDES[[#This Row],[Quantity]]*CHRISTODOULIDES[[#This Row],[Unit Price]]</f>
        <v>50.4</v>
      </c>
      <c r="J20" s="4"/>
      <c r="K20" s="4">
        <v>0.13</v>
      </c>
      <c r="L20" s="2">
        <f>(CHRISTODOULIDES[[#This Row],[Total]] * (1 - CHRISTODOULIDES[[#This Row],[Discount (%)]]) + CHRISTODOULIDES[[#This Row],[ΕΦΚ]]) * (1 + CHRISTODOULIDES[[#This Row],[TAX (%)]])</f>
        <v>56.951999999999991</v>
      </c>
    </row>
    <row r="21" spans="1:12" x14ac:dyDescent="0.35">
      <c r="A21" s="12">
        <v>46101</v>
      </c>
      <c r="B21" s="6" t="s">
        <v>87</v>
      </c>
      <c r="C21" s="3" t="s">
        <v>77</v>
      </c>
      <c r="D21" s="3" t="s">
        <v>79</v>
      </c>
      <c r="E21" s="3" t="s">
        <v>42</v>
      </c>
      <c r="F21" s="3">
        <v>60</v>
      </c>
      <c r="G21" s="19">
        <v>1.3</v>
      </c>
      <c r="H21" s="2">
        <f>CHRISTODOULIDES[[#This Row],[Quantity]]*CHRISTODOULIDES[[#This Row],[Unit Price]]</f>
        <v>78</v>
      </c>
      <c r="I21" s="4">
        <v>0.15</v>
      </c>
      <c r="J21" s="4"/>
      <c r="K21" s="4">
        <v>0.13</v>
      </c>
      <c r="L21" s="2">
        <f>(CHRISTODOULIDES[[#This Row],[Total]] * (1 - CHRISTODOULIDES[[#This Row],[Discount (%)]]) + CHRISTODOULIDES[[#This Row],[ΕΦΚ]]) * (1 + CHRISTODOULIDES[[#This Row],[TAX (%)]])</f>
        <v>74.918999999999983</v>
      </c>
    </row>
    <row r="22" spans="1:12" x14ac:dyDescent="0.35">
      <c r="A22" s="12">
        <v>46097</v>
      </c>
      <c r="B22" s="6" t="s">
        <v>85</v>
      </c>
      <c r="C22" s="3" t="s">
        <v>89</v>
      </c>
      <c r="D22" s="3" t="s">
        <v>86</v>
      </c>
      <c r="E22" s="3" t="s">
        <v>42</v>
      </c>
      <c r="F22" s="3">
        <v>10</v>
      </c>
      <c r="G22" s="19">
        <v>0.99</v>
      </c>
      <c r="H22" s="2">
        <f>CHRISTODOULIDES[[#This Row],[Quantity]]*CHRISTODOULIDES[[#This Row],[Unit Price]]</f>
        <v>9.9</v>
      </c>
      <c r="I22" s="4">
        <v>0.2</v>
      </c>
      <c r="J22" s="4"/>
      <c r="K22" s="4">
        <v>0.13</v>
      </c>
      <c r="L22" s="2">
        <f>(CHRISTODOULIDES[[#This Row],[Total]] * (1 - CHRISTODOULIDES[[#This Row],[Discount (%)]]) + CHRISTODOULIDES[[#This Row],[ΕΦΚ]]) * (1 + CHRISTODOULIDES[[#This Row],[TAX (%)]])</f>
        <v>8.9496000000000002</v>
      </c>
    </row>
    <row r="23" spans="1:12" x14ac:dyDescent="0.35">
      <c r="A23" s="12">
        <v>46097</v>
      </c>
      <c r="B23" s="6" t="s">
        <v>85</v>
      </c>
      <c r="C23" s="3" t="s">
        <v>77</v>
      </c>
      <c r="D23" s="3" t="s">
        <v>79</v>
      </c>
      <c r="E23" s="3" t="s">
        <v>42</v>
      </c>
      <c r="F23" s="3">
        <v>60</v>
      </c>
      <c r="G23" s="19">
        <v>1.3</v>
      </c>
      <c r="H23" s="2">
        <f>CHRISTODOULIDES[[#This Row],[Quantity]]*CHRISTODOULIDES[[#This Row],[Unit Price]]</f>
        <v>78</v>
      </c>
      <c r="I23" s="4">
        <v>0.15</v>
      </c>
      <c r="J23" s="4"/>
      <c r="K23" s="4">
        <v>0.13</v>
      </c>
      <c r="L23" s="2">
        <f>(CHRISTODOULIDES[[#This Row],[Total]] * (1 - CHRISTODOULIDES[[#This Row],[Discount (%)]]) + CHRISTODOULIDES[[#This Row],[ΕΦΚ]]) * (1 + CHRISTODOULIDES[[#This Row],[TAX (%)]])</f>
        <v>74.918999999999983</v>
      </c>
    </row>
    <row r="24" spans="1:12" x14ac:dyDescent="0.35">
      <c r="A24" s="12">
        <v>46095</v>
      </c>
      <c r="B24" s="6" t="s">
        <v>84</v>
      </c>
      <c r="C24" s="3" t="s">
        <v>77</v>
      </c>
      <c r="D24" s="3" t="s">
        <v>81</v>
      </c>
      <c r="E24" s="3" t="s">
        <v>42</v>
      </c>
      <c r="F24" s="3">
        <v>105</v>
      </c>
      <c r="G24" s="19">
        <v>0.48</v>
      </c>
      <c r="H24" s="2">
        <f>CHRISTODOULIDES[[#This Row],[Quantity]]*CHRISTODOULIDES[[#This Row],[Unit Price]]</f>
        <v>50.4</v>
      </c>
      <c r="J24" s="4"/>
      <c r="K24" s="4">
        <v>0.13</v>
      </c>
      <c r="L24" s="2">
        <f>(CHRISTODOULIDES[[#This Row],[Total]] * (1 - CHRISTODOULIDES[[#This Row],[Discount (%)]]) + CHRISTODOULIDES[[#This Row],[ΕΦΚ]]) * (1 + CHRISTODOULIDES[[#This Row],[TAX (%)]])</f>
        <v>56.951999999999991</v>
      </c>
    </row>
    <row r="25" spans="1:12" x14ac:dyDescent="0.35">
      <c r="A25" s="12">
        <v>46077</v>
      </c>
      <c r="B25" s="6" t="s">
        <v>82</v>
      </c>
      <c r="C25" s="3" t="s">
        <v>77</v>
      </c>
      <c r="D25" s="3" t="s">
        <v>83</v>
      </c>
      <c r="E25" s="3" t="s">
        <v>42</v>
      </c>
      <c r="F25" s="3">
        <v>3</v>
      </c>
      <c r="G25" s="19">
        <v>2.65</v>
      </c>
      <c r="H25" s="2">
        <f>CHRISTODOULIDES[[#This Row],[Quantity]]*CHRISTODOULIDES[[#This Row],[Unit Price]]</f>
        <v>7.9499999999999993</v>
      </c>
      <c r="J25" s="4"/>
      <c r="K25" s="4">
        <v>0.13</v>
      </c>
      <c r="L25" s="2">
        <f>(CHRISTODOULIDES[[#This Row],[Total]] * (1 - CHRISTODOULIDES[[#This Row],[Discount (%)]]) + CHRISTODOULIDES[[#This Row],[ΕΦΚ]]) * (1 + CHRISTODOULIDES[[#This Row],[TAX (%)]])</f>
        <v>8.9834999999999976</v>
      </c>
    </row>
    <row r="26" spans="1:12" x14ac:dyDescent="0.35">
      <c r="A26" s="12">
        <v>46077</v>
      </c>
      <c r="B26" s="6" t="s">
        <v>82</v>
      </c>
      <c r="C26" s="3" t="s">
        <v>77</v>
      </c>
      <c r="D26" s="3" t="s">
        <v>79</v>
      </c>
      <c r="E26" s="3" t="s">
        <v>42</v>
      </c>
      <c r="F26" s="3">
        <v>60</v>
      </c>
      <c r="G26" s="19">
        <v>1.3</v>
      </c>
      <c r="H26" s="2">
        <f>CHRISTODOULIDES[[#This Row],[Quantity]]*CHRISTODOULIDES[[#This Row],[Unit Price]]</f>
        <v>78</v>
      </c>
      <c r="I26" s="4">
        <v>0.15</v>
      </c>
      <c r="J26" s="4"/>
      <c r="K26" s="4">
        <v>0.13</v>
      </c>
      <c r="L26" s="2">
        <f>(CHRISTODOULIDES[[#This Row],[Total]] * (1 - CHRISTODOULIDES[[#This Row],[Discount (%)]]) + CHRISTODOULIDES[[#This Row],[ΕΦΚ]]) * (1 + CHRISTODOULIDES[[#This Row],[TAX (%)]])</f>
        <v>74.918999999999983</v>
      </c>
    </row>
    <row r="27" spans="1:12" x14ac:dyDescent="0.35">
      <c r="A27" s="12">
        <v>46066</v>
      </c>
      <c r="B27" s="6" t="s">
        <v>80</v>
      </c>
      <c r="C27" s="3" t="s">
        <v>77</v>
      </c>
      <c r="D27" s="3" t="s">
        <v>81</v>
      </c>
      <c r="E27" s="3" t="s">
        <v>42</v>
      </c>
      <c r="F27" s="3">
        <v>105</v>
      </c>
      <c r="G27" s="19">
        <v>0.48</v>
      </c>
      <c r="H27" s="2">
        <f>CHRISTODOULIDES[[#This Row],[Quantity]]*CHRISTODOULIDES[[#This Row],[Unit Price]]</f>
        <v>50.4</v>
      </c>
      <c r="J27" s="4"/>
      <c r="K27" s="4">
        <v>0.13</v>
      </c>
      <c r="L27" s="2">
        <f>(CHRISTODOULIDES[[#This Row],[Total]] * (1 - CHRISTODOULIDES[[#This Row],[Discount (%)]]) + CHRISTODOULIDES[[#This Row],[ΕΦΚ]]) * (1 + CHRISTODOULIDES[[#This Row],[TAX (%)]])</f>
        <v>56.951999999999991</v>
      </c>
    </row>
    <row r="28" spans="1:12" x14ac:dyDescent="0.35">
      <c r="A28" s="12">
        <v>46066</v>
      </c>
      <c r="B28" s="6" t="s">
        <v>80</v>
      </c>
      <c r="C28" s="3" t="s">
        <v>77</v>
      </c>
      <c r="D28" s="3" t="s">
        <v>79</v>
      </c>
      <c r="E28" s="3" t="s">
        <v>42</v>
      </c>
      <c r="F28" s="3">
        <v>60</v>
      </c>
      <c r="G28" s="19">
        <v>1.3</v>
      </c>
      <c r="H28" s="2">
        <f>CHRISTODOULIDES[[#This Row],[Quantity]]*CHRISTODOULIDES[[#This Row],[Unit Price]]</f>
        <v>78</v>
      </c>
      <c r="I28" s="4">
        <v>0.15</v>
      </c>
      <c r="J28" s="4"/>
      <c r="K28" s="4">
        <v>0.13</v>
      </c>
      <c r="L28" s="2">
        <f>(CHRISTODOULIDES[[#This Row],[Total]] * (1 - CHRISTODOULIDES[[#This Row],[Discount (%)]]) + CHRISTODOULIDES[[#This Row],[ΕΦΚ]]) * (1 + CHRISTODOULIDES[[#This Row],[TAX (%)]])</f>
        <v>74.918999999999983</v>
      </c>
    </row>
    <row r="29" spans="1:12" x14ac:dyDescent="0.35">
      <c r="A29" s="12">
        <v>46059</v>
      </c>
      <c r="B29" s="3" t="s">
        <v>78</v>
      </c>
      <c r="C29" s="3" t="s">
        <v>77</v>
      </c>
      <c r="D29" s="3" t="s">
        <v>79</v>
      </c>
      <c r="E29" s="3" t="s">
        <v>42</v>
      </c>
      <c r="F29" s="3">
        <v>60</v>
      </c>
      <c r="G29" s="19">
        <v>1.3</v>
      </c>
      <c r="H29" s="2">
        <f>CHRISTODOULIDES[[#This Row],[Quantity]]*CHRISTODOULIDES[[#This Row],[Unit Price]]</f>
        <v>78</v>
      </c>
      <c r="I29" s="4">
        <v>0.15</v>
      </c>
      <c r="J29" s="4"/>
      <c r="K29" s="4">
        <v>0.13</v>
      </c>
      <c r="L29" s="2">
        <f>(CHRISTODOULIDES[[#This Row],[Total]] * (1 - CHRISTODOULIDES[[#This Row],[Discount (%)]]) + CHRISTODOULIDES[[#This Row],[ΕΦΚ]]) * (1 + CHRISTODOULIDES[[#This Row],[TAX (%)]])</f>
        <v>74.918999999999983</v>
      </c>
    </row>
    <row r="30" spans="1:12" x14ac:dyDescent="0.35">
      <c r="A30" s="12">
        <v>46059</v>
      </c>
      <c r="B30" s="6" t="s">
        <v>78</v>
      </c>
      <c r="C30" s="3" t="s">
        <v>77</v>
      </c>
      <c r="D30" s="3" t="s">
        <v>73</v>
      </c>
      <c r="E30" s="3" t="s">
        <v>42</v>
      </c>
      <c r="F30" s="3">
        <v>40</v>
      </c>
      <c r="G30" s="19">
        <v>0.76200000000000001</v>
      </c>
      <c r="H30" s="2">
        <f>CHRISTODOULIDES[[#This Row],[Quantity]]*CHRISTODOULIDES[[#This Row],[Unit Price]]</f>
        <v>30.48</v>
      </c>
      <c r="I30" s="4">
        <v>0.1</v>
      </c>
      <c r="J30" s="4"/>
      <c r="K30" s="4">
        <v>0.13</v>
      </c>
      <c r="L30" s="2">
        <f>(CHRISTODOULIDES[[#This Row],[Total]] * (1 - CHRISTODOULIDES[[#This Row],[Discount (%)]]) + CHRISTODOULIDES[[#This Row],[ΕΦΚ]]) * (1 + CHRISTODOULIDES[[#This Row],[TAX (%)]])</f>
        <v>30.998159999999999</v>
      </c>
    </row>
    <row r="31" spans="1:12" x14ac:dyDescent="0.35">
      <c r="A31" s="12">
        <v>46059</v>
      </c>
      <c r="B31" s="6" t="s">
        <v>78</v>
      </c>
      <c r="C31" s="3" t="s">
        <v>77</v>
      </c>
      <c r="D31" s="3" t="s">
        <v>76</v>
      </c>
      <c r="E31" s="3" t="s">
        <v>42</v>
      </c>
      <c r="F31" s="3">
        <v>180</v>
      </c>
      <c r="G31" s="19">
        <v>0.67700000000000005</v>
      </c>
      <c r="H31" s="2">
        <f>CHRISTODOULIDES[[#This Row],[Quantity]]*CHRISTODOULIDES[[#This Row],[Unit Price]]</f>
        <v>121.86000000000001</v>
      </c>
      <c r="I31" s="4">
        <v>0.3</v>
      </c>
      <c r="J31" s="4"/>
      <c r="K31" s="4">
        <v>0.13</v>
      </c>
      <c r="L31" s="2">
        <f>(CHRISTODOULIDES[[#This Row],[Total]] * (1 - CHRISTODOULIDES[[#This Row],[Discount (%)]]) + CHRISTODOULIDES[[#This Row],[ΕΦΚ]]) * (1 + CHRISTODOULIDES[[#This Row],[TAX (%)]])</f>
        <v>96.391260000000003</v>
      </c>
    </row>
    <row r="32" spans="1:12" x14ac:dyDescent="0.35">
      <c r="A32" s="12">
        <v>46049</v>
      </c>
      <c r="B32" s="3" t="s">
        <v>75</v>
      </c>
      <c r="C32" s="3" t="s">
        <v>77</v>
      </c>
      <c r="D32" s="3" t="s">
        <v>76</v>
      </c>
      <c r="E32" s="3" t="s">
        <v>42</v>
      </c>
      <c r="F32" s="3">
        <v>180</v>
      </c>
      <c r="G32" s="19">
        <v>0.67700000000000005</v>
      </c>
      <c r="H32" s="2">
        <f>CHRISTODOULIDES[[#This Row],[Quantity]]*CHRISTODOULIDES[[#This Row],[Unit Price]]</f>
        <v>121.86000000000001</v>
      </c>
      <c r="I32" s="4">
        <v>0.3</v>
      </c>
      <c r="J32" s="4"/>
      <c r="K32" s="4">
        <v>0.13</v>
      </c>
      <c r="L32" s="5">
        <f>(CHRISTODOULIDES[[#This Row],[Total]] * (1 - CHRISTODOULIDES[[#This Row],[Discount (%)]]) + CHRISTODOULIDES[[#This Row],[ΕΦΚ]]) * (1 + CHRISTODOULIDES[[#This Row],[TAX (%)]])</f>
        <v>96.391260000000003</v>
      </c>
    </row>
    <row r="33" spans="1:12" x14ac:dyDescent="0.35">
      <c r="A33" s="12">
        <v>46025</v>
      </c>
      <c r="B33" s="3" t="s">
        <v>74</v>
      </c>
      <c r="C33" s="3" t="s">
        <v>77</v>
      </c>
      <c r="D33" s="3" t="s">
        <v>73</v>
      </c>
      <c r="E33" s="3" t="s">
        <v>42</v>
      </c>
      <c r="F33" s="3">
        <v>40</v>
      </c>
      <c r="G33" s="19">
        <v>0.76200000000000001</v>
      </c>
      <c r="H33" s="2">
        <f>CHRISTODOULIDES[[#This Row],[Quantity]]*CHRISTODOULIDES[[#This Row],[Unit Price]]</f>
        <v>30.48</v>
      </c>
      <c r="I33" s="4">
        <v>0.1</v>
      </c>
      <c r="J33" s="4"/>
      <c r="K33" s="4">
        <v>0.13</v>
      </c>
      <c r="L33" s="5">
        <f>(CHRISTODOULIDES[[#This Row],[Total]] * (1 - CHRISTODOULIDES[[#This Row],[Discount (%)]]) + CHRISTODOULIDES[[#This Row],[ΕΦΚ]]) * (1 + CHRISTODOULIDES[[#This Row],[TAX (%)]])</f>
        <v>30.998159999999999</v>
      </c>
    </row>
    <row r="34" spans="1:12" x14ac:dyDescent="0.35">
      <c r="A34" s="12">
        <v>46022</v>
      </c>
      <c r="B34" s="6" t="s">
        <v>145</v>
      </c>
      <c r="C34" s="3" t="s">
        <v>77</v>
      </c>
      <c r="D34" s="3" t="s">
        <v>73</v>
      </c>
      <c r="E34" s="3" t="s">
        <v>42</v>
      </c>
      <c r="F34" s="3">
        <v>40</v>
      </c>
      <c r="G34" s="19">
        <v>0.76200000000000001</v>
      </c>
      <c r="H34" s="2">
        <f>CHRISTODOULIDES[[#This Row],[Quantity]]*CHRISTODOULIDES[[#This Row],[Unit Price]]</f>
        <v>30.48</v>
      </c>
      <c r="I34" s="4">
        <v>0.1</v>
      </c>
      <c r="K34" s="4">
        <v>0.13</v>
      </c>
      <c r="L34" s="2">
        <f>(CHRISTODOULIDES[[#This Row],[Total]] * (1 - CHRISTODOULIDES[[#This Row],[Discount (%)]]) + CHRISTODOULIDES[[#This Row],[ΕΦΚ]]) * (1 + CHRISTODOULIDES[[#This Row],[TAX (%)]])</f>
        <v>30.998159999999999</v>
      </c>
    </row>
    <row r="35" spans="1:12" x14ac:dyDescent="0.35">
      <c r="A35" s="12">
        <v>46022</v>
      </c>
      <c r="B35" s="6" t="s">
        <v>145</v>
      </c>
      <c r="C35" s="3" t="s">
        <v>77</v>
      </c>
      <c r="D35" s="3" t="s">
        <v>131</v>
      </c>
      <c r="E35" s="3" t="s">
        <v>42</v>
      </c>
      <c r="F35" s="3">
        <v>4</v>
      </c>
      <c r="G35" s="19">
        <v>2.75</v>
      </c>
      <c r="H35" s="2">
        <f>CHRISTODOULIDES[[#This Row],[Quantity]]*CHRISTODOULIDES[[#This Row],[Unit Price]]</f>
        <v>11</v>
      </c>
      <c r="K35" s="4">
        <v>0.13</v>
      </c>
      <c r="L35" s="2">
        <f>(CHRISTODOULIDES[[#This Row],[Total]] * (1 - CHRISTODOULIDES[[#This Row],[Discount (%)]]) + CHRISTODOULIDES[[#This Row],[ΕΦΚ]]) * (1 + CHRISTODOULIDES[[#This Row],[TAX (%)]])</f>
        <v>12.43</v>
      </c>
    </row>
    <row r="36" spans="1:12" x14ac:dyDescent="0.35">
      <c r="A36" s="12">
        <v>46022</v>
      </c>
      <c r="B36" s="6" t="s">
        <v>145</v>
      </c>
      <c r="C36" s="3" t="s">
        <v>77</v>
      </c>
      <c r="D36" s="3" t="s">
        <v>79</v>
      </c>
      <c r="E36" s="3" t="s">
        <v>42</v>
      </c>
      <c r="F36" s="3">
        <v>60</v>
      </c>
      <c r="G36" s="19">
        <v>1.3</v>
      </c>
      <c r="H36" s="2">
        <f>CHRISTODOULIDES[[#This Row],[Quantity]]*CHRISTODOULIDES[[#This Row],[Unit Price]]</f>
        <v>78</v>
      </c>
      <c r="I36" s="4">
        <v>0.15</v>
      </c>
      <c r="K36" s="4">
        <v>0.13</v>
      </c>
      <c r="L36" s="2">
        <f>(CHRISTODOULIDES[[#This Row],[Total]] * (1 - CHRISTODOULIDES[[#This Row],[Discount (%)]]) + CHRISTODOULIDES[[#This Row],[ΕΦΚ]]) * (1 + CHRISTODOULIDES[[#This Row],[TAX (%)]])</f>
        <v>74.918999999999983</v>
      </c>
    </row>
    <row r="37" spans="1:12" x14ac:dyDescent="0.35">
      <c r="A37" s="12">
        <v>46020</v>
      </c>
      <c r="B37" s="6" t="s">
        <v>144</v>
      </c>
      <c r="C37" s="3" t="s">
        <v>89</v>
      </c>
      <c r="D37" s="3" t="s">
        <v>86</v>
      </c>
      <c r="E37" s="3" t="s">
        <v>42</v>
      </c>
      <c r="F37" s="3">
        <v>6</v>
      </c>
      <c r="G37" s="19">
        <v>0.99</v>
      </c>
      <c r="H37" s="2">
        <f>CHRISTODOULIDES[[#This Row],[Quantity]]*CHRISTODOULIDES[[#This Row],[Unit Price]]</f>
        <v>5.9399999999999995</v>
      </c>
      <c r="K37" s="4">
        <v>0.13</v>
      </c>
      <c r="L37" s="2">
        <f>(CHRISTODOULIDES[[#This Row],[Total]] * (1 - CHRISTODOULIDES[[#This Row],[Discount (%)]]) + CHRISTODOULIDES[[#This Row],[ΕΦΚ]]) * (1 + CHRISTODOULIDES[[#This Row],[TAX (%)]])</f>
        <v>6.7121999999999984</v>
      </c>
    </row>
    <row r="38" spans="1:12" x14ac:dyDescent="0.35">
      <c r="A38" s="12">
        <v>46015</v>
      </c>
      <c r="B38" s="6" t="s">
        <v>143</v>
      </c>
      <c r="C38" s="3" t="s">
        <v>77</v>
      </c>
      <c r="D38" s="3" t="s">
        <v>79</v>
      </c>
      <c r="E38" s="3" t="s">
        <v>42</v>
      </c>
      <c r="F38" s="3">
        <v>60</v>
      </c>
      <c r="G38" s="19">
        <v>1.3</v>
      </c>
      <c r="H38" s="2">
        <f>CHRISTODOULIDES[[#This Row],[Quantity]]*CHRISTODOULIDES[[#This Row],[Unit Price]]</f>
        <v>78</v>
      </c>
      <c r="I38" s="4">
        <v>0.15</v>
      </c>
      <c r="K38" s="4">
        <v>0.13</v>
      </c>
      <c r="L38" s="2">
        <f>(CHRISTODOULIDES[[#This Row],[Total]] * (1 - CHRISTODOULIDES[[#This Row],[Discount (%)]]) + CHRISTODOULIDES[[#This Row],[ΕΦΚ]]) * (1 + CHRISTODOULIDES[[#This Row],[TAX (%)]])</f>
        <v>74.918999999999983</v>
      </c>
    </row>
    <row r="39" spans="1:12" x14ac:dyDescent="0.35">
      <c r="A39" s="12">
        <v>46015</v>
      </c>
      <c r="B39" s="6" t="s">
        <v>143</v>
      </c>
      <c r="C39" s="3" t="s">
        <v>77</v>
      </c>
      <c r="D39" s="3" t="s">
        <v>76</v>
      </c>
      <c r="E39" s="3" t="s">
        <v>42</v>
      </c>
      <c r="F39" s="3">
        <v>180</v>
      </c>
      <c r="G39" s="19">
        <v>0.67700000000000005</v>
      </c>
      <c r="H39" s="2">
        <f>CHRISTODOULIDES[[#This Row],[Quantity]]*CHRISTODOULIDES[[#This Row],[Unit Price]]</f>
        <v>121.86000000000001</v>
      </c>
      <c r="I39" s="4">
        <v>0.3</v>
      </c>
      <c r="K39" s="4">
        <v>0.13</v>
      </c>
      <c r="L39" s="2">
        <f>(CHRISTODOULIDES[[#This Row],[Total]] * (1 - CHRISTODOULIDES[[#This Row],[Discount (%)]]) + CHRISTODOULIDES[[#This Row],[ΕΦΚ]]) * (1 + CHRISTODOULIDES[[#This Row],[TAX (%)]])</f>
        <v>96.391260000000003</v>
      </c>
    </row>
    <row r="40" spans="1:12" x14ac:dyDescent="0.35">
      <c r="A40" s="12">
        <v>46004</v>
      </c>
      <c r="B40" s="6" t="s">
        <v>142</v>
      </c>
      <c r="C40" s="3" t="s">
        <v>77</v>
      </c>
      <c r="D40" s="3" t="s">
        <v>81</v>
      </c>
      <c r="E40" s="3" t="s">
        <v>42</v>
      </c>
      <c r="F40" s="3">
        <v>105</v>
      </c>
      <c r="G40" s="19">
        <v>0.48</v>
      </c>
      <c r="H40" s="2">
        <f>CHRISTODOULIDES[[#This Row],[Quantity]]*CHRISTODOULIDES[[#This Row],[Unit Price]]</f>
        <v>50.4</v>
      </c>
      <c r="K40" s="4">
        <v>0.13</v>
      </c>
      <c r="L40" s="2">
        <f>(CHRISTODOULIDES[[#This Row],[Total]] * (1 - CHRISTODOULIDES[[#This Row],[Discount (%)]]) + CHRISTODOULIDES[[#This Row],[ΕΦΚ]]) * (1 + CHRISTODOULIDES[[#This Row],[TAX (%)]])</f>
        <v>56.951999999999991</v>
      </c>
    </row>
    <row r="41" spans="1:12" x14ac:dyDescent="0.35">
      <c r="A41" s="12">
        <v>46001</v>
      </c>
      <c r="B41" s="6" t="s">
        <v>141</v>
      </c>
      <c r="C41" s="3" t="s">
        <v>77</v>
      </c>
      <c r="D41" s="3" t="s">
        <v>123</v>
      </c>
      <c r="E41" s="3" t="s">
        <v>42</v>
      </c>
      <c r="F41" s="3">
        <v>15</v>
      </c>
      <c r="G41" s="19">
        <v>0.56999999999999995</v>
      </c>
      <c r="H41" s="2">
        <f>CHRISTODOULIDES[[#This Row],[Quantity]]*CHRISTODOULIDES[[#This Row],[Unit Price]]</f>
        <v>8.5499999999999989</v>
      </c>
      <c r="K41" s="4">
        <v>0.13</v>
      </c>
      <c r="L41" s="2">
        <f>(CHRISTODOULIDES[[#This Row],[Total]] * (1 - CHRISTODOULIDES[[#This Row],[Discount (%)]]) + CHRISTODOULIDES[[#This Row],[ΕΦΚ]]) * (1 + CHRISTODOULIDES[[#This Row],[TAX (%)]])</f>
        <v>9.6614999999999984</v>
      </c>
    </row>
    <row r="42" spans="1:12" x14ac:dyDescent="0.35">
      <c r="A42" s="12">
        <v>46001</v>
      </c>
      <c r="B42" s="6" t="s">
        <v>141</v>
      </c>
      <c r="C42" s="3" t="s">
        <v>77</v>
      </c>
      <c r="D42" s="3" t="s">
        <v>92</v>
      </c>
      <c r="E42" s="3" t="s">
        <v>42</v>
      </c>
      <c r="F42" s="3">
        <v>15</v>
      </c>
      <c r="G42" s="19">
        <v>0.56999999999999995</v>
      </c>
      <c r="H42" s="2">
        <f>CHRISTODOULIDES[[#This Row],[Quantity]]*CHRISTODOULIDES[[#This Row],[Unit Price]]</f>
        <v>8.5499999999999989</v>
      </c>
      <c r="K42" s="4">
        <v>0.13</v>
      </c>
      <c r="L42" s="2">
        <f>(CHRISTODOULIDES[[#This Row],[Total]] * (1 - CHRISTODOULIDES[[#This Row],[Discount (%)]]) + CHRISTODOULIDES[[#This Row],[ΕΦΚ]]) * (1 + CHRISTODOULIDES[[#This Row],[TAX (%)]])</f>
        <v>9.6614999999999984</v>
      </c>
    </row>
    <row r="43" spans="1:12" x14ac:dyDescent="0.35">
      <c r="A43" s="12">
        <v>46001</v>
      </c>
      <c r="B43" s="6" t="s">
        <v>141</v>
      </c>
      <c r="C43" s="3" t="s">
        <v>77</v>
      </c>
      <c r="D43" s="3" t="s">
        <v>131</v>
      </c>
      <c r="E43" s="3" t="s">
        <v>42</v>
      </c>
      <c r="F43" s="3">
        <v>2</v>
      </c>
      <c r="G43" s="19">
        <v>2.75</v>
      </c>
      <c r="H43" s="2">
        <f>CHRISTODOULIDES[[#This Row],[Quantity]]*CHRISTODOULIDES[[#This Row],[Unit Price]]</f>
        <v>5.5</v>
      </c>
      <c r="K43" s="4">
        <v>0.13</v>
      </c>
      <c r="L43" s="2">
        <f>(CHRISTODOULIDES[[#This Row],[Total]] * (1 - CHRISTODOULIDES[[#This Row],[Discount (%)]]) + CHRISTODOULIDES[[#This Row],[ΕΦΚ]]) * (1 + CHRISTODOULIDES[[#This Row],[TAX (%)]])</f>
        <v>6.2149999999999999</v>
      </c>
    </row>
    <row r="44" spans="1:12" x14ac:dyDescent="0.35">
      <c r="A44" s="12">
        <v>46001</v>
      </c>
      <c r="B44" s="6" t="s">
        <v>141</v>
      </c>
      <c r="C44" s="3" t="s">
        <v>77</v>
      </c>
      <c r="D44" s="3" t="s">
        <v>129</v>
      </c>
      <c r="E44" s="3" t="s">
        <v>42</v>
      </c>
      <c r="F44" s="3">
        <v>2</v>
      </c>
      <c r="G44" s="19">
        <v>2.75</v>
      </c>
      <c r="H44" s="2">
        <f>CHRISTODOULIDES[[#This Row],[Quantity]]*CHRISTODOULIDES[[#This Row],[Unit Price]]</f>
        <v>5.5</v>
      </c>
      <c r="K44" s="4">
        <v>0.13</v>
      </c>
      <c r="L44" s="2">
        <f>(CHRISTODOULIDES[[#This Row],[Total]] * (1 - CHRISTODOULIDES[[#This Row],[Discount (%)]]) + CHRISTODOULIDES[[#This Row],[ΕΦΚ]]) * (1 + CHRISTODOULIDES[[#This Row],[TAX (%)]])</f>
        <v>6.2149999999999999</v>
      </c>
    </row>
    <row r="45" spans="1:12" x14ac:dyDescent="0.35">
      <c r="A45" s="12">
        <v>45997</v>
      </c>
      <c r="B45" s="6" t="s">
        <v>140</v>
      </c>
      <c r="C45" s="3" t="s">
        <v>77</v>
      </c>
      <c r="D45" s="3" t="s">
        <v>81</v>
      </c>
      <c r="E45" s="3" t="s">
        <v>42</v>
      </c>
      <c r="F45" s="3">
        <v>105</v>
      </c>
      <c r="G45" s="19">
        <v>0.48</v>
      </c>
      <c r="H45" s="2">
        <f>CHRISTODOULIDES[[#This Row],[Quantity]]*CHRISTODOULIDES[[#This Row],[Unit Price]]</f>
        <v>50.4</v>
      </c>
      <c r="K45" s="4">
        <v>0.13</v>
      </c>
      <c r="L45" s="2">
        <f>(CHRISTODOULIDES[[#This Row],[Total]] * (1 - CHRISTODOULIDES[[#This Row],[Discount (%)]]) + CHRISTODOULIDES[[#This Row],[ΕΦΚ]]) * (1 + CHRISTODOULIDES[[#This Row],[TAX (%)]])</f>
        <v>56.951999999999991</v>
      </c>
    </row>
    <row r="46" spans="1:12" x14ac:dyDescent="0.35">
      <c r="A46" s="12">
        <v>45997</v>
      </c>
      <c r="B46" s="6" t="s">
        <v>140</v>
      </c>
      <c r="C46" s="3" t="s">
        <v>77</v>
      </c>
      <c r="D46" s="3" t="s">
        <v>73</v>
      </c>
      <c r="E46" s="3" t="s">
        <v>42</v>
      </c>
      <c r="F46" s="3">
        <v>80</v>
      </c>
      <c r="G46" s="19">
        <v>0.76200000000000001</v>
      </c>
      <c r="H46" s="2">
        <f>CHRISTODOULIDES[[#This Row],[Quantity]]*CHRISTODOULIDES[[#This Row],[Unit Price]]</f>
        <v>60.96</v>
      </c>
      <c r="K46" s="4">
        <v>0.13</v>
      </c>
      <c r="L46" s="2">
        <f>(CHRISTODOULIDES[[#This Row],[Total]] * (1 - CHRISTODOULIDES[[#This Row],[Discount (%)]]) + CHRISTODOULIDES[[#This Row],[ΕΦΚ]]) * (1 + CHRISTODOULIDES[[#This Row],[TAX (%)]])</f>
        <v>68.884799999999998</v>
      </c>
    </row>
    <row r="47" spans="1:12" x14ac:dyDescent="0.35">
      <c r="A47" s="12">
        <v>45989</v>
      </c>
      <c r="B47" s="6" t="s">
        <v>139</v>
      </c>
      <c r="C47" s="3" t="s">
        <v>77</v>
      </c>
      <c r="D47" s="3" t="s">
        <v>81</v>
      </c>
      <c r="E47" s="3" t="s">
        <v>42</v>
      </c>
      <c r="F47" s="3">
        <v>105</v>
      </c>
      <c r="G47" s="19">
        <v>0.48</v>
      </c>
      <c r="H47" s="2">
        <f>CHRISTODOULIDES[[#This Row],[Quantity]]*CHRISTODOULIDES[[#This Row],[Unit Price]]</f>
        <v>50.4</v>
      </c>
      <c r="I47" s="4">
        <v>0.25</v>
      </c>
      <c r="K47" s="4">
        <v>0.13</v>
      </c>
      <c r="L47" s="2">
        <f>(CHRISTODOULIDES[[#This Row],[Total]] * (1 - CHRISTODOULIDES[[#This Row],[Discount (%)]]) + CHRISTODOULIDES[[#This Row],[ΕΦΚ]]) * (1 + CHRISTODOULIDES[[#This Row],[TAX (%)]])</f>
        <v>42.713999999999992</v>
      </c>
    </row>
    <row r="48" spans="1:12" x14ac:dyDescent="0.35">
      <c r="A48" s="12">
        <v>45989</v>
      </c>
      <c r="B48" s="6" t="s">
        <v>139</v>
      </c>
      <c r="C48" s="3" t="s">
        <v>77</v>
      </c>
      <c r="D48" s="3" t="s">
        <v>121</v>
      </c>
      <c r="E48" s="3" t="s">
        <v>42</v>
      </c>
      <c r="F48" s="3">
        <v>160</v>
      </c>
      <c r="G48" s="19">
        <v>0.3</v>
      </c>
      <c r="H48" s="2">
        <f>CHRISTODOULIDES[[#This Row],[Quantity]]*CHRISTODOULIDES[[#This Row],[Unit Price]]</f>
        <v>48</v>
      </c>
      <c r="I48" s="4">
        <v>0.35</v>
      </c>
      <c r="K48" s="4">
        <v>0.13</v>
      </c>
      <c r="L48" s="2">
        <f>(CHRISTODOULIDES[[#This Row],[Total]] * (1 - CHRISTODOULIDES[[#This Row],[Discount (%)]]) + CHRISTODOULIDES[[#This Row],[ΕΦΚ]]) * (1 + CHRISTODOULIDES[[#This Row],[TAX (%)]])</f>
        <v>35.256</v>
      </c>
    </row>
    <row r="49" spans="1:12" x14ac:dyDescent="0.35">
      <c r="A49" s="12">
        <v>45989</v>
      </c>
      <c r="B49" s="6" t="s">
        <v>139</v>
      </c>
      <c r="C49" s="3" t="s">
        <v>77</v>
      </c>
      <c r="D49" s="3" t="s">
        <v>73</v>
      </c>
      <c r="E49" s="3" t="s">
        <v>42</v>
      </c>
      <c r="F49" s="3">
        <v>40</v>
      </c>
      <c r="G49" s="19">
        <v>0.76200000000000001</v>
      </c>
      <c r="H49" s="2">
        <f>CHRISTODOULIDES[[#This Row],[Quantity]]*CHRISTODOULIDES[[#This Row],[Unit Price]]</f>
        <v>30.48</v>
      </c>
      <c r="I49" s="4">
        <v>0.1</v>
      </c>
      <c r="K49" s="4">
        <v>0.13</v>
      </c>
      <c r="L49" s="2">
        <f>(CHRISTODOULIDES[[#This Row],[Total]] * (1 - CHRISTODOULIDES[[#This Row],[Discount (%)]]) + CHRISTODOULIDES[[#This Row],[ΕΦΚ]]) * (1 + CHRISTODOULIDES[[#This Row],[TAX (%)]])</f>
        <v>30.998159999999999</v>
      </c>
    </row>
    <row r="50" spans="1:12" x14ac:dyDescent="0.35">
      <c r="A50" s="12">
        <v>45985</v>
      </c>
      <c r="B50" s="6" t="s">
        <v>138</v>
      </c>
      <c r="C50" s="3" t="s">
        <v>77</v>
      </c>
      <c r="D50" s="3" t="s">
        <v>123</v>
      </c>
      <c r="E50" s="3" t="s">
        <v>42</v>
      </c>
      <c r="F50" s="3">
        <v>15</v>
      </c>
      <c r="G50" s="19">
        <v>0.56999999999999995</v>
      </c>
      <c r="H50" s="2">
        <f>CHRISTODOULIDES[[#This Row],[Quantity]]*CHRISTODOULIDES[[#This Row],[Unit Price]]</f>
        <v>8.5499999999999989</v>
      </c>
      <c r="K50" s="4">
        <v>0.13</v>
      </c>
      <c r="L50" s="2">
        <f>(CHRISTODOULIDES[[#This Row],[Total]] * (1 - CHRISTODOULIDES[[#This Row],[Discount (%)]]) + CHRISTODOULIDES[[#This Row],[ΕΦΚ]]) * (1 + CHRISTODOULIDES[[#This Row],[TAX (%)]])</f>
        <v>9.6614999999999984</v>
      </c>
    </row>
    <row r="51" spans="1:12" x14ac:dyDescent="0.35">
      <c r="A51" s="12">
        <v>45985</v>
      </c>
      <c r="B51" s="6" t="s">
        <v>138</v>
      </c>
      <c r="C51" s="3" t="s">
        <v>77</v>
      </c>
      <c r="D51" s="3" t="s">
        <v>92</v>
      </c>
      <c r="E51" s="3" t="s">
        <v>42</v>
      </c>
      <c r="F51" s="3">
        <v>15</v>
      </c>
      <c r="G51" s="19">
        <v>0.56999999999999995</v>
      </c>
      <c r="H51" s="2">
        <f>CHRISTODOULIDES[[#This Row],[Quantity]]*CHRISTODOULIDES[[#This Row],[Unit Price]]</f>
        <v>8.5499999999999989</v>
      </c>
      <c r="K51" s="4">
        <v>0.13</v>
      </c>
      <c r="L51" s="2">
        <f>(CHRISTODOULIDES[[#This Row],[Total]] * (1 - CHRISTODOULIDES[[#This Row],[Discount (%)]]) + CHRISTODOULIDES[[#This Row],[ΕΦΚ]]) * (1 + CHRISTODOULIDES[[#This Row],[TAX (%)]])</f>
        <v>9.6614999999999984</v>
      </c>
    </row>
    <row r="52" spans="1:12" x14ac:dyDescent="0.35">
      <c r="A52" s="12">
        <v>45985</v>
      </c>
      <c r="B52" s="6" t="s">
        <v>138</v>
      </c>
      <c r="C52" s="3" t="s">
        <v>77</v>
      </c>
      <c r="D52" s="3" t="s">
        <v>121</v>
      </c>
      <c r="E52" s="3" t="s">
        <v>42</v>
      </c>
      <c r="F52" s="3">
        <v>160</v>
      </c>
      <c r="G52" s="19">
        <v>0.15</v>
      </c>
      <c r="H52" s="2">
        <f>CHRISTODOULIDES[[#This Row],[Quantity]]*CHRISTODOULIDES[[#This Row],[Unit Price]]</f>
        <v>24</v>
      </c>
      <c r="K52" s="4">
        <v>0.13</v>
      </c>
      <c r="L52" s="2">
        <f>(CHRISTODOULIDES[[#This Row],[Total]] * (1 - CHRISTODOULIDES[[#This Row],[Discount (%)]]) + CHRISTODOULIDES[[#This Row],[ΕΦΚ]]) * (1 + CHRISTODOULIDES[[#This Row],[TAX (%)]])</f>
        <v>27.119999999999997</v>
      </c>
    </row>
    <row r="53" spans="1:12" x14ac:dyDescent="0.35">
      <c r="A53" s="12">
        <v>45985</v>
      </c>
      <c r="B53" s="6" t="s">
        <v>138</v>
      </c>
      <c r="C53" s="3" t="s">
        <v>77</v>
      </c>
      <c r="D53" s="3" t="s">
        <v>81</v>
      </c>
      <c r="E53" s="3" t="s">
        <v>42</v>
      </c>
      <c r="F53" s="3">
        <v>105</v>
      </c>
      <c r="G53" s="19">
        <v>0.48</v>
      </c>
      <c r="H53" s="2">
        <f>CHRISTODOULIDES[[#This Row],[Quantity]]*CHRISTODOULIDES[[#This Row],[Unit Price]]</f>
        <v>50.4</v>
      </c>
      <c r="K53" s="4">
        <v>0.13</v>
      </c>
      <c r="L53" s="2">
        <f>(CHRISTODOULIDES[[#This Row],[Total]] * (1 - CHRISTODOULIDES[[#This Row],[Discount (%)]]) + CHRISTODOULIDES[[#This Row],[ΕΦΚ]]) * (1 + CHRISTODOULIDES[[#This Row],[TAX (%)]])</f>
        <v>56.951999999999991</v>
      </c>
    </row>
    <row r="54" spans="1:12" x14ac:dyDescent="0.35">
      <c r="A54" s="12">
        <v>45981</v>
      </c>
      <c r="B54" s="6" t="s">
        <v>137</v>
      </c>
      <c r="C54" s="3" t="s">
        <v>77</v>
      </c>
      <c r="D54" s="3" t="s">
        <v>81</v>
      </c>
      <c r="E54" s="3" t="s">
        <v>42</v>
      </c>
      <c r="F54" s="3">
        <v>105</v>
      </c>
      <c r="G54" s="19">
        <v>0.48</v>
      </c>
      <c r="H54" s="2">
        <f>CHRISTODOULIDES[[#This Row],[Quantity]]*CHRISTODOULIDES[[#This Row],[Unit Price]]</f>
        <v>50.4</v>
      </c>
      <c r="I54" s="4">
        <v>0.25</v>
      </c>
      <c r="K54" s="4">
        <v>0.13</v>
      </c>
      <c r="L54" s="2">
        <f>(CHRISTODOULIDES[[#This Row],[Total]] * (1 - CHRISTODOULIDES[[#This Row],[Discount (%)]]) + CHRISTODOULIDES[[#This Row],[ΕΦΚ]]) * (1 + CHRISTODOULIDES[[#This Row],[TAX (%)]])</f>
        <v>42.713999999999992</v>
      </c>
    </row>
    <row r="55" spans="1:12" x14ac:dyDescent="0.35">
      <c r="A55" s="12">
        <v>45981</v>
      </c>
      <c r="B55" s="6" t="s">
        <v>137</v>
      </c>
      <c r="C55" s="3" t="s">
        <v>77</v>
      </c>
      <c r="D55" s="3" t="s">
        <v>131</v>
      </c>
      <c r="E55" s="3" t="s">
        <v>42</v>
      </c>
      <c r="F55" s="3">
        <v>2</v>
      </c>
      <c r="G55" s="19">
        <v>2.75</v>
      </c>
      <c r="H55" s="2">
        <f>CHRISTODOULIDES[[#This Row],[Quantity]]*CHRISTODOULIDES[[#This Row],[Unit Price]]</f>
        <v>5.5</v>
      </c>
      <c r="K55" s="4">
        <v>0.13</v>
      </c>
      <c r="L55" s="2">
        <f>(CHRISTODOULIDES[[#This Row],[Total]] * (1 - CHRISTODOULIDES[[#This Row],[Discount (%)]]) + CHRISTODOULIDES[[#This Row],[ΕΦΚ]]) * (1 + CHRISTODOULIDES[[#This Row],[TAX (%)]])</f>
        <v>6.2149999999999999</v>
      </c>
    </row>
    <row r="56" spans="1:12" x14ac:dyDescent="0.35">
      <c r="A56" s="12">
        <v>45978</v>
      </c>
      <c r="B56" s="6" t="s">
        <v>136</v>
      </c>
      <c r="C56" s="3" t="s">
        <v>77</v>
      </c>
      <c r="D56" s="3" t="s">
        <v>73</v>
      </c>
      <c r="E56" s="3" t="s">
        <v>42</v>
      </c>
      <c r="F56" s="3">
        <v>80</v>
      </c>
      <c r="G56" s="19">
        <v>0.76200000000000001</v>
      </c>
      <c r="H56" s="2">
        <f>CHRISTODOULIDES[[#This Row],[Quantity]]*CHRISTODOULIDES[[#This Row],[Unit Price]]</f>
        <v>60.96</v>
      </c>
      <c r="K56" s="4">
        <v>0.13</v>
      </c>
      <c r="L56" s="2">
        <f>(CHRISTODOULIDES[[#This Row],[Total]] * (1 - CHRISTODOULIDES[[#This Row],[Discount (%)]]) + CHRISTODOULIDES[[#This Row],[ΕΦΚ]]) * (1 + CHRISTODOULIDES[[#This Row],[TAX (%)]])</f>
        <v>68.884799999999998</v>
      </c>
    </row>
    <row r="57" spans="1:12" x14ac:dyDescent="0.35">
      <c r="A57" s="12">
        <v>45975</v>
      </c>
      <c r="B57" s="3" t="s">
        <v>120</v>
      </c>
      <c r="C57" s="3" t="s">
        <v>77</v>
      </c>
      <c r="D57" s="3" t="s">
        <v>81</v>
      </c>
      <c r="E57" s="3" t="s">
        <v>42</v>
      </c>
      <c r="F57" s="3">
        <v>105</v>
      </c>
      <c r="G57" s="19">
        <v>0.48</v>
      </c>
      <c r="H57" s="2">
        <f>CHRISTODOULIDES[[#This Row],[Quantity]]*CHRISTODOULIDES[[#This Row],[Unit Price]]</f>
        <v>50.4</v>
      </c>
      <c r="K57" s="4">
        <v>0.13</v>
      </c>
      <c r="L57" s="2">
        <f>(CHRISTODOULIDES[[#This Row],[Total]] * (1 - CHRISTODOULIDES[[#This Row],[Discount (%)]]) + CHRISTODOULIDES[[#This Row],[ΕΦΚ]]) * (1 + CHRISTODOULIDES[[#This Row],[TAX (%)]])</f>
        <v>56.951999999999991</v>
      </c>
    </row>
    <row r="58" spans="1:12" x14ac:dyDescent="0.35">
      <c r="A58" s="12">
        <v>45975</v>
      </c>
      <c r="B58" s="6" t="s">
        <v>120</v>
      </c>
      <c r="C58" s="3" t="s">
        <v>77</v>
      </c>
      <c r="D58" s="3" t="s">
        <v>121</v>
      </c>
      <c r="E58" s="3" t="s">
        <v>42</v>
      </c>
      <c r="F58" s="3">
        <v>160</v>
      </c>
      <c r="G58" s="19">
        <v>0.316</v>
      </c>
      <c r="H58" s="2">
        <f>CHRISTODOULIDES[[#This Row],[Quantity]]*CHRISTODOULIDES[[#This Row],[Unit Price]]</f>
        <v>50.56</v>
      </c>
      <c r="K58" s="4">
        <v>0.13</v>
      </c>
      <c r="L58" s="2">
        <f>(CHRISTODOULIDES[[#This Row],[Total]] * (1 - CHRISTODOULIDES[[#This Row],[Discount (%)]]) + CHRISTODOULIDES[[#This Row],[ΕΦΚ]]) * (1 + CHRISTODOULIDES[[#This Row],[TAX (%)]])</f>
        <v>57.132799999999996</v>
      </c>
    </row>
    <row r="59" spans="1:12" x14ac:dyDescent="0.35">
      <c r="A59" s="12">
        <v>45975</v>
      </c>
      <c r="B59" s="6" t="s">
        <v>120</v>
      </c>
      <c r="C59" s="3" t="s">
        <v>77</v>
      </c>
      <c r="D59" s="3" t="s">
        <v>90</v>
      </c>
      <c r="E59" s="3" t="s">
        <v>42</v>
      </c>
      <c r="F59" s="3">
        <v>40</v>
      </c>
      <c r="G59" s="19">
        <v>0.45</v>
      </c>
      <c r="H59" s="2">
        <f>CHRISTODOULIDES[[#This Row],[Quantity]]*CHRISTODOULIDES[[#This Row],[Unit Price]]</f>
        <v>18</v>
      </c>
      <c r="K59" s="4">
        <v>0.13</v>
      </c>
      <c r="L59" s="2">
        <f>(CHRISTODOULIDES[[#This Row],[Total]] * (1 - CHRISTODOULIDES[[#This Row],[Discount (%)]]) + CHRISTODOULIDES[[#This Row],[ΕΦΚ]]) * (1 + CHRISTODOULIDES[[#This Row],[TAX (%)]])</f>
        <v>20.339999999999996</v>
      </c>
    </row>
    <row r="60" spans="1:12" x14ac:dyDescent="0.35">
      <c r="A60" s="12">
        <v>45973</v>
      </c>
      <c r="B60" s="6" t="s">
        <v>135</v>
      </c>
      <c r="C60" s="3" t="s">
        <v>77</v>
      </c>
      <c r="D60" s="3" t="s">
        <v>92</v>
      </c>
      <c r="E60" s="3" t="s">
        <v>42</v>
      </c>
      <c r="F60" s="3">
        <v>15</v>
      </c>
      <c r="G60" s="19">
        <v>0.56999999999999995</v>
      </c>
      <c r="H60" s="2">
        <f>CHRISTODOULIDES[[#This Row],[Quantity]]*CHRISTODOULIDES[[#This Row],[Unit Price]]</f>
        <v>8.5499999999999989</v>
      </c>
      <c r="I60" s="4">
        <v>0.2</v>
      </c>
      <c r="K60" s="4">
        <v>0.13</v>
      </c>
      <c r="L60" s="2">
        <f>(CHRISTODOULIDES[[#This Row],[Total]] * (1 - CHRISTODOULIDES[[#This Row],[Discount (%)]]) + CHRISTODOULIDES[[#This Row],[ΕΦΚ]]) * (1 + CHRISTODOULIDES[[#This Row],[TAX (%)]])</f>
        <v>7.7291999999999987</v>
      </c>
    </row>
    <row r="61" spans="1:12" x14ac:dyDescent="0.35">
      <c r="A61" s="12">
        <v>45973</v>
      </c>
      <c r="B61" s="6" t="s">
        <v>135</v>
      </c>
      <c r="C61" s="3" t="s">
        <v>77</v>
      </c>
      <c r="D61" s="3" t="s">
        <v>123</v>
      </c>
      <c r="E61" s="3" t="s">
        <v>42</v>
      </c>
      <c r="F61" s="3">
        <v>15</v>
      </c>
      <c r="G61" s="19">
        <v>0.56999999999999995</v>
      </c>
      <c r="H61" s="2">
        <f>CHRISTODOULIDES[[#This Row],[Quantity]]*CHRISTODOULIDES[[#This Row],[Unit Price]]</f>
        <v>8.5499999999999989</v>
      </c>
      <c r="I61" s="4">
        <v>0.2</v>
      </c>
      <c r="K61" s="4">
        <v>0.13</v>
      </c>
      <c r="L61" s="2">
        <f>(CHRISTODOULIDES[[#This Row],[Total]] * (1 - CHRISTODOULIDES[[#This Row],[Discount (%)]]) + CHRISTODOULIDES[[#This Row],[ΕΦΚ]]) * (1 + CHRISTODOULIDES[[#This Row],[TAX (%)]])</f>
        <v>7.7291999999999987</v>
      </c>
    </row>
    <row r="62" spans="1:12" x14ac:dyDescent="0.35">
      <c r="A62" s="12">
        <v>45973</v>
      </c>
      <c r="B62" s="6" t="s">
        <v>135</v>
      </c>
      <c r="C62" s="3" t="s">
        <v>89</v>
      </c>
      <c r="D62" s="3" t="s">
        <v>86</v>
      </c>
      <c r="E62" s="3" t="s">
        <v>42</v>
      </c>
      <c r="F62" s="3">
        <v>5</v>
      </c>
      <c r="G62" s="19">
        <v>0.99</v>
      </c>
      <c r="H62" s="2">
        <f>CHRISTODOULIDES[[#This Row],[Quantity]]*CHRISTODOULIDES[[#This Row],[Unit Price]]</f>
        <v>4.95</v>
      </c>
      <c r="K62" s="4">
        <v>0.13</v>
      </c>
      <c r="L62" s="2">
        <f>(CHRISTODOULIDES[[#This Row],[Total]] * (1 - CHRISTODOULIDES[[#This Row],[Discount (%)]]) + CHRISTODOULIDES[[#This Row],[ΕΦΚ]]) * (1 + CHRISTODOULIDES[[#This Row],[TAX (%)]])</f>
        <v>5.5934999999999997</v>
      </c>
    </row>
    <row r="63" spans="1:12" x14ac:dyDescent="0.35">
      <c r="A63" s="12">
        <v>45971</v>
      </c>
      <c r="B63" s="6" t="s">
        <v>134</v>
      </c>
      <c r="C63" s="3" t="s">
        <v>77</v>
      </c>
      <c r="D63" s="3" t="s">
        <v>131</v>
      </c>
      <c r="E63" s="3" t="s">
        <v>42</v>
      </c>
      <c r="F63" s="3">
        <v>1</v>
      </c>
      <c r="G63" s="19">
        <v>2.75</v>
      </c>
      <c r="H63" s="2">
        <f>CHRISTODOULIDES[[#This Row],[Quantity]]*CHRISTODOULIDES[[#This Row],[Unit Price]]</f>
        <v>2.75</v>
      </c>
      <c r="K63" s="4">
        <v>0.13</v>
      </c>
      <c r="L63" s="2">
        <f>(CHRISTODOULIDES[[#This Row],[Total]] * (1 - CHRISTODOULIDES[[#This Row],[Discount (%)]]) + CHRISTODOULIDES[[#This Row],[ΕΦΚ]]) * (1 + CHRISTODOULIDES[[#This Row],[TAX (%)]])</f>
        <v>3.1074999999999999</v>
      </c>
    </row>
    <row r="64" spans="1:12" x14ac:dyDescent="0.35">
      <c r="A64" s="12">
        <v>45971</v>
      </c>
      <c r="B64" s="6" t="s">
        <v>134</v>
      </c>
      <c r="C64" s="3" t="s">
        <v>77</v>
      </c>
      <c r="D64" s="3" t="s">
        <v>73</v>
      </c>
      <c r="E64" s="3" t="s">
        <v>42</v>
      </c>
      <c r="F64" s="3">
        <v>40</v>
      </c>
      <c r="G64" s="19">
        <v>0.76200000000000001</v>
      </c>
      <c r="H64" s="2">
        <f>CHRISTODOULIDES[[#This Row],[Quantity]]*CHRISTODOULIDES[[#This Row],[Unit Price]]</f>
        <v>30.48</v>
      </c>
      <c r="K64" s="4">
        <v>0.13</v>
      </c>
      <c r="L64" s="2">
        <f>(CHRISTODOULIDES[[#This Row],[Total]] * (1 - CHRISTODOULIDES[[#This Row],[Discount (%)]]) + CHRISTODOULIDES[[#This Row],[ΕΦΚ]]) * (1 + CHRISTODOULIDES[[#This Row],[TAX (%)]])</f>
        <v>34.442399999999999</v>
      </c>
    </row>
    <row r="65" spans="1:12" x14ac:dyDescent="0.35">
      <c r="A65" s="12">
        <v>45968</v>
      </c>
      <c r="B65" s="6" t="s">
        <v>133</v>
      </c>
      <c r="C65" s="3" t="s">
        <v>77</v>
      </c>
      <c r="D65" s="3" t="s">
        <v>121</v>
      </c>
      <c r="E65" s="3" t="s">
        <v>42</v>
      </c>
      <c r="F65" s="3">
        <v>160</v>
      </c>
      <c r="G65" s="19">
        <v>0.316</v>
      </c>
      <c r="H65" s="2">
        <f>CHRISTODOULIDES[[#This Row],[Quantity]]*CHRISTODOULIDES[[#This Row],[Unit Price]]</f>
        <v>50.56</v>
      </c>
      <c r="I65" s="4">
        <v>0.35</v>
      </c>
      <c r="K65" s="4">
        <v>0.13</v>
      </c>
      <c r="L65" s="2">
        <f>(CHRISTODOULIDES[[#This Row],[Total]] * (1 - CHRISTODOULIDES[[#This Row],[Discount (%)]]) + CHRISTODOULIDES[[#This Row],[ΕΦΚ]]) * (1 + CHRISTODOULIDES[[#This Row],[TAX (%)]])</f>
        <v>37.136320000000005</v>
      </c>
    </row>
    <row r="66" spans="1:12" x14ac:dyDescent="0.35">
      <c r="A66" s="12">
        <v>45968</v>
      </c>
      <c r="B66" s="6" t="s">
        <v>133</v>
      </c>
      <c r="C66" s="3" t="s">
        <v>77</v>
      </c>
      <c r="D66" s="3" t="s">
        <v>81</v>
      </c>
      <c r="E66" s="3" t="s">
        <v>42</v>
      </c>
      <c r="F66" s="3">
        <v>105</v>
      </c>
      <c r="G66" s="19">
        <v>0.48</v>
      </c>
      <c r="H66" s="2">
        <f>CHRISTODOULIDES[[#This Row],[Quantity]]*CHRISTODOULIDES[[#This Row],[Unit Price]]</f>
        <v>50.4</v>
      </c>
      <c r="I66" s="4">
        <v>0.35</v>
      </c>
      <c r="K66" s="4">
        <v>0.13</v>
      </c>
      <c r="L66" s="2">
        <f>(CHRISTODOULIDES[[#This Row],[Total]] * (1 - CHRISTODOULIDES[[#This Row],[Discount (%)]]) + CHRISTODOULIDES[[#This Row],[ΕΦΚ]]) * (1 + CHRISTODOULIDES[[#This Row],[TAX (%)]])</f>
        <v>37.018799999999992</v>
      </c>
    </row>
    <row r="67" spans="1:12" x14ac:dyDescent="0.35">
      <c r="A67" s="12">
        <v>45968</v>
      </c>
      <c r="B67" s="6" t="s">
        <v>133</v>
      </c>
      <c r="C67" s="3" t="s">
        <v>77</v>
      </c>
      <c r="D67" s="3" t="s">
        <v>73</v>
      </c>
      <c r="E67" s="3" t="s">
        <v>42</v>
      </c>
      <c r="F67" s="3">
        <v>40</v>
      </c>
      <c r="G67" s="19">
        <v>0.76200000000000001</v>
      </c>
      <c r="H67" s="2">
        <f>CHRISTODOULIDES[[#This Row],[Quantity]]*CHRISTODOULIDES[[#This Row],[Unit Price]]</f>
        <v>30.48</v>
      </c>
      <c r="I67" s="4">
        <v>0.1</v>
      </c>
      <c r="K67" s="4">
        <v>0.13</v>
      </c>
      <c r="L67" s="2">
        <f>(CHRISTODOULIDES[[#This Row],[Total]] * (1 - CHRISTODOULIDES[[#This Row],[Discount (%)]]) + CHRISTODOULIDES[[#This Row],[ΕΦΚ]]) * (1 + CHRISTODOULIDES[[#This Row],[TAX (%)]])</f>
        <v>30.998159999999999</v>
      </c>
    </row>
    <row r="68" spans="1:12" x14ac:dyDescent="0.35">
      <c r="A68" s="12">
        <v>45966</v>
      </c>
      <c r="B68" s="6" t="s">
        <v>132</v>
      </c>
      <c r="C68" s="3" t="s">
        <v>77</v>
      </c>
      <c r="D68" s="3" t="s">
        <v>81</v>
      </c>
      <c r="E68" s="3" t="s">
        <v>42</v>
      </c>
      <c r="F68" s="3">
        <v>105</v>
      </c>
      <c r="G68" s="19">
        <v>0.48</v>
      </c>
      <c r="H68" s="2">
        <f>CHRISTODOULIDES[[#This Row],[Quantity]]*CHRISTODOULIDES[[#This Row],[Unit Price]]</f>
        <v>50.4</v>
      </c>
      <c r="I68" s="4">
        <v>0.35</v>
      </c>
      <c r="K68" s="4">
        <v>0.13</v>
      </c>
      <c r="L68" s="2">
        <f>(CHRISTODOULIDES[[#This Row],[Total]] * (1 - CHRISTODOULIDES[[#This Row],[Discount (%)]]) + CHRISTODOULIDES[[#This Row],[ΕΦΚ]]) * (1 + CHRISTODOULIDES[[#This Row],[TAX (%)]])</f>
        <v>37.018799999999992</v>
      </c>
    </row>
    <row r="69" spans="1:12" x14ac:dyDescent="0.35">
      <c r="A69" s="12">
        <v>45966</v>
      </c>
      <c r="B69" s="6" t="s">
        <v>132</v>
      </c>
      <c r="C69" s="3" t="s">
        <v>77</v>
      </c>
      <c r="D69" s="3" t="s">
        <v>131</v>
      </c>
      <c r="E69" s="3" t="s">
        <v>42</v>
      </c>
      <c r="F69" s="3">
        <v>1</v>
      </c>
      <c r="G69" s="19">
        <v>2.75</v>
      </c>
      <c r="H69" s="2">
        <f>CHRISTODOULIDES[[#This Row],[Quantity]]*CHRISTODOULIDES[[#This Row],[Unit Price]]</f>
        <v>2.75</v>
      </c>
      <c r="I69" s="4">
        <v>0.08</v>
      </c>
      <c r="K69" s="4">
        <v>0.13</v>
      </c>
      <c r="L69" s="2">
        <f>(CHRISTODOULIDES[[#This Row],[Total]] * (1 - CHRISTODOULIDES[[#This Row],[Discount (%)]]) + CHRISTODOULIDES[[#This Row],[ΕΦΚ]]) * (1 + CHRISTODOULIDES[[#This Row],[TAX (%)]])</f>
        <v>2.8589000000000002</v>
      </c>
    </row>
    <row r="70" spans="1:12" x14ac:dyDescent="0.35">
      <c r="A70" s="12">
        <v>45964</v>
      </c>
      <c r="B70" s="6" t="s">
        <v>130</v>
      </c>
      <c r="C70" s="3" t="s">
        <v>77</v>
      </c>
      <c r="D70" s="3" t="s">
        <v>73</v>
      </c>
      <c r="E70" s="3" t="s">
        <v>42</v>
      </c>
      <c r="F70" s="3">
        <v>40</v>
      </c>
      <c r="G70" s="19">
        <v>0.76200000000000001</v>
      </c>
      <c r="H70" s="2">
        <f>CHRISTODOULIDES[[#This Row],[Quantity]]*CHRISTODOULIDES[[#This Row],[Unit Price]]</f>
        <v>30.48</v>
      </c>
      <c r="I70" s="4">
        <v>0.1</v>
      </c>
      <c r="K70" s="4">
        <v>0.13</v>
      </c>
      <c r="L70" s="2">
        <f>(CHRISTODOULIDES[[#This Row],[Total]] * (1 - CHRISTODOULIDES[[#This Row],[Discount (%)]]) + CHRISTODOULIDES[[#This Row],[ΕΦΚ]]) * (1 + CHRISTODOULIDES[[#This Row],[TAX (%)]])</f>
        <v>30.998159999999999</v>
      </c>
    </row>
    <row r="71" spans="1:12" x14ac:dyDescent="0.35">
      <c r="A71" s="12">
        <v>45964</v>
      </c>
      <c r="B71" s="6" t="s">
        <v>130</v>
      </c>
      <c r="C71" s="3" t="s">
        <v>77</v>
      </c>
      <c r="D71" s="3" t="s">
        <v>131</v>
      </c>
      <c r="E71" s="3" t="s">
        <v>42</v>
      </c>
      <c r="F71" s="3">
        <v>1</v>
      </c>
      <c r="G71" s="19">
        <v>2.75</v>
      </c>
      <c r="H71" s="2">
        <f>CHRISTODOULIDES[[#This Row],[Quantity]]*CHRISTODOULIDES[[#This Row],[Unit Price]]</f>
        <v>2.75</v>
      </c>
      <c r="I71" s="4">
        <v>0.08</v>
      </c>
      <c r="K71" s="4">
        <v>0.13</v>
      </c>
      <c r="L71" s="2">
        <f>(CHRISTODOULIDES[[#This Row],[Total]] * (1 - CHRISTODOULIDES[[#This Row],[Discount (%)]]) + CHRISTODOULIDES[[#This Row],[ΕΦΚ]]) * (1 + CHRISTODOULIDES[[#This Row],[TAX (%)]])</f>
        <v>2.8589000000000002</v>
      </c>
    </row>
    <row r="72" spans="1:12" x14ac:dyDescent="0.35">
      <c r="A72" s="12">
        <v>45964</v>
      </c>
      <c r="B72" s="6" t="s">
        <v>130</v>
      </c>
      <c r="C72" s="3" t="s">
        <v>77</v>
      </c>
      <c r="D72" s="3" t="s">
        <v>129</v>
      </c>
      <c r="E72" s="3" t="s">
        <v>42</v>
      </c>
      <c r="F72" s="3">
        <v>1</v>
      </c>
      <c r="G72" s="19">
        <v>2.75</v>
      </c>
      <c r="H72" s="2">
        <f>CHRISTODOULIDES[[#This Row],[Quantity]]*CHRISTODOULIDES[[#This Row],[Unit Price]]</f>
        <v>2.75</v>
      </c>
      <c r="K72" s="4">
        <v>0.13</v>
      </c>
      <c r="L72" s="2">
        <f>(CHRISTODOULIDES[[#This Row],[Total]] * (1 - CHRISTODOULIDES[[#This Row],[Discount (%)]]) + CHRISTODOULIDES[[#This Row],[ΕΦΚ]]) * (1 + CHRISTODOULIDES[[#This Row],[TAX (%)]])</f>
        <v>3.1074999999999999</v>
      </c>
    </row>
    <row r="73" spans="1:12" x14ac:dyDescent="0.35">
      <c r="A73" s="12">
        <v>45960</v>
      </c>
      <c r="B73" s="6" t="s">
        <v>128</v>
      </c>
      <c r="C73" s="3" t="s">
        <v>77</v>
      </c>
      <c r="D73" s="3" t="s">
        <v>121</v>
      </c>
      <c r="E73" s="3" t="s">
        <v>42</v>
      </c>
      <c r="F73" s="3">
        <v>160</v>
      </c>
      <c r="G73" s="19">
        <v>0.3</v>
      </c>
      <c r="H73" s="2">
        <f>CHRISTODOULIDES[[#This Row],[Quantity]]*CHRISTODOULIDES[[#This Row],[Unit Price]]</f>
        <v>48</v>
      </c>
      <c r="I73" s="4">
        <v>0.35</v>
      </c>
      <c r="K73" s="4">
        <v>0.13</v>
      </c>
      <c r="L73" s="2">
        <f>(CHRISTODOULIDES[[#This Row],[Total]] * (1 - CHRISTODOULIDES[[#This Row],[Discount (%)]]) + CHRISTODOULIDES[[#This Row],[ΕΦΚ]]) * (1 + CHRISTODOULIDES[[#This Row],[TAX (%)]])</f>
        <v>35.256</v>
      </c>
    </row>
    <row r="74" spans="1:12" x14ac:dyDescent="0.35">
      <c r="A74" s="12">
        <v>45960</v>
      </c>
      <c r="B74" s="6" t="s">
        <v>128</v>
      </c>
      <c r="C74" s="3" t="s">
        <v>77</v>
      </c>
      <c r="D74" s="3" t="s">
        <v>129</v>
      </c>
      <c r="E74" s="3" t="s">
        <v>42</v>
      </c>
      <c r="F74" s="3">
        <v>3</v>
      </c>
      <c r="G74" s="19">
        <v>2.75</v>
      </c>
      <c r="H74" s="2">
        <f>CHRISTODOULIDES[[#This Row],[Quantity]]*CHRISTODOULIDES[[#This Row],[Unit Price]]</f>
        <v>8.25</v>
      </c>
      <c r="K74" s="4">
        <v>0.13</v>
      </c>
      <c r="L74" s="2">
        <f>(CHRISTODOULIDES[[#This Row],[Total]] * (1 - CHRISTODOULIDES[[#This Row],[Discount (%)]]) + CHRISTODOULIDES[[#This Row],[ΕΦΚ]]) * (1 + CHRISTODOULIDES[[#This Row],[TAX (%)]])</f>
        <v>9.3224999999999998</v>
      </c>
    </row>
    <row r="75" spans="1:12" x14ac:dyDescent="0.35">
      <c r="A75" s="12">
        <v>45957</v>
      </c>
      <c r="B75" s="6" t="s">
        <v>127</v>
      </c>
      <c r="C75" s="3" t="s">
        <v>77</v>
      </c>
      <c r="D75" s="3" t="s">
        <v>123</v>
      </c>
      <c r="E75" s="3" t="s">
        <v>42</v>
      </c>
      <c r="F75" s="3">
        <v>15</v>
      </c>
      <c r="G75" s="19">
        <v>0.56999999999999995</v>
      </c>
      <c r="H75" s="2">
        <f>CHRISTODOULIDES[[#This Row],[Quantity]]*CHRISTODOULIDES[[#This Row],[Unit Price]]</f>
        <v>8.5499999999999989</v>
      </c>
      <c r="I75" s="4">
        <v>0.2</v>
      </c>
      <c r="K75" s="4">
        <v>0.13</v>
      </c>
      <c r="L75" s="2">
        <f>(CHRISTODOULIDES[[#This Row],[Total]] * (1 - CHRISTODOULIDES[[#This Row],[Discount (%)]]) + CHRISTODOULIDES[[#This Row],[ΕΦΚ]]) * (1 + CHRISTODOULIDES[[#This Row],[TAX (%)]])</f>
        <v>7.7291999999999987</v>
      </c>
    </row>
    <row r="76" spans="1:12" x14ac:dyDescent="0.35">
      <c r="A76" s="12">
        <v>45957</v>
      </c>
      <c r="B76" s="6" t="s">
        <v>127</v>
      </c>
      <c r="C76" s="3" t="s">
        <v>77</v>
      </c>
      <c r="D76" s="3" t="s">
        <v>81</v>
      </c>
      <c r="E76" s="3" t="s">
        <v>42</v>
      </c>
      <c r="F76" s="3">
        <v>105</v>
      </c>
      <c r="G76" s="19">
        <v>0.48</v>
      </c>
      <c r="H76" s="2">
        <f>CHRISTODOULIDES[[#This Row],[Quantity]]*CHRISTODOULIDES[[#This Row],[Unit Price]]</f>
        <v>50.4</v>
      </c>
      <c r="I76" s="4">
        <v>0.35</v>
      </c>
      <c r="K76" s="4">
        <v>0.13</v>
      </c>
      <c r="L76" s="2">
        <f>(CHRISTODOULIDES[[#This Row],[Total]] * (1 - CHRISTODOULIDES[[#This Row],[Discount (%)]]) + CHRISTODOULIDES[[#This Row],[ΕΦΚ]]) * (1 + CHRISTODOULIDES[[#This Row],[TAX (%)]])</f>
        <v>37.018799999999992</v>
      </c>
    </row>
    <row r="77" spans="1:12" x14ac:dyDescent="0.35">
      <c r="A77" s="12">
        <v>45957</v>
      </c>
      <c r="B77" s="6" t="s">
        <v>127</v>
      </c>
      <c r="C77" s="3" t="s">
        <v>77</v>
      </c>
      <c r="D77" s="3" t="s">
        <v>73</v>
      </c>
      <c r="E77" s="3" t="s">
        <v>42</v>
      </c>
      <c r="F77" s="3">
        <v>40</v>
      </c>
      <c r="G77" s="19">
        <v>0.76200000000000001</v>
      </c>
      <c r="H77" s="2">
        <f>CHRISTODOULIDES[[#This Row],[Quantity]]*CHRISTODOULIDES[[#This Row],[Unit Price]]</f>
        <v>30.48</v>
      </c>
      <c r="I77" s="4">
        <v>0.1</v>
      </c>
      <c r="K77" s="4">
        <v>0.13</v>
      </c>
      <c r="L77" s="2">
        <f>(CHRISTODOULIDES[[#This Row],[Total]] * (1 - CHRISTODOULIDES[[#This Row],[Discount (%)]]) + CHRISTODOULIDES[[#This Row],[ΕΦΚ]]) * (1 + CHRISTODOULIDES[[#This Row],[TAX (%)]])</f>
        <v>30.998159999999999</v>
      </c>
    </row>
    <row r="78" spans="1:12" x14ac:dyDescent="0.35">
      <c r="A78" s="12">
        <v>45954</v>
      </c>
      <c r="B78" s="6" t="s">
        <v>126</v>
      </c>
      <c r="C78" s="3" t="s">
        <v>77</v>
      </c>
      <c r="D78" s="3" t="s">
        <v>81</v>
      </c>
      <c r="E78" s="3" t="s">
        <v>42</v>
      </c>
      <c r="F78" s="3">
        <v>105</v>
      </c>
      <c r="G78" s="19">
        <v>0.48</v>
      </c>
      <c r="H78" s="2">
        <f>CHRISTODOULIDES[[#This Row],[Quantity]]*CHRISTODOULIDES[[#This Row],[Unit Price]]</f>
        <v>50.4</v>
      </c>
      <c r="I78" s="4">
        <v>0.35</v>
      </c>
      <c r="K78" s="4">
        <v>0.13</v>
      </c>
      <c r="L78" s="2">
        <f>(CHRISTODOULIDES[[#This Row],[Total]] * (1 - CHRISTODOULIDES[[#This Row],[Discount (%)]]) + CHRISTODOULIDES[[#This Row],[ΕΦΚ]]) * (1 + CHRISTODOULIDES[[#This Row],[TAX (%)]])</f>
        <v>37.018799999999992</v>
      </c>
    </row>
    <row r="79" spans="1:12" x14ac:dyDescent="0.35">
      <c r="A79" s="12">
        <v>45950</v>
      </c>
      <c r="B79" s="6" t="s">
        <v>125</v>
      </c>
      <c r="C79" s="3" t="s">
        <v>77</v>
      </c>
      <c r="D79" s="3" t="s">
        <v>83</v>
      </c>
      <c r="E79" s="3" t="s">
        <v>42</v>
      </c>
      <c r="F79" s="3">
        <v>1</v>
      </c>
      <c r="G79" s="19">
        <v>2.65</v>
      </c>
      <c r="H79" s="2">
        <f>CHRISTODOULIDES[[#This Row],[Quantity]]*CHRISTODOULIDES[[#This Row],[Unit Price]]</f>
        <v>2.65</v>
      </c>
      <c r="I79" s="4">
        <v>0</v>
      </c>
      <c r="K79" s="4">
        <v>0.13</v>
      </c>
      <c r="L79" s="2">
        <f>(CHRISTODOULIDES[[#This Row],[Total]] * (1 - CHRISTODOULIDES[[#This Row],[Discount (%)]]) + CHRISTODOULIDES[[#This Row],[ΕΦΚ]]) * (1 + CHRISTODOULIDES[[#This Row],[TAX (%)]])</f>
        <v>2.9944999999999995</v>
      </c>
    </row>
    <row r="80" spans="1:12" x14ac:dyDescent="0.35">
      <c r="A80" s="12">
        <v>45950</v>
      </c>
      <c r="B80" s="6" t="s">
        <v>125</v>
      </c>
      <c r="C80" s="3" t="s">
        <v>77</v>
      </c>
      <c r="D80" s="3" t="s">
        <v>73</v>
      </c>
      <c r="E80" s="3" t="s">
        <v>42</v>
      </c>
      <c r="F80" s="3">
        <v>40</v>
      </c>
      <c r="G80" s="19">
        <v>0.76200000000000001</v>
      </c>
      <c r="H80" s="2">
        <f>CHRISTODOULIDES[[#This Row],[Quantity]]*CHRISTODOULIDES[[#This Row],[Unit Price]]</f>
        <v>30.48</v>
      </c>
      <c r="I80" s="4">
        <v>0.1</v>
      </c>
      <c r="K80" s="4">
        <v>0.13</v>
      </c>
      <c r="L80" s="2">
        <f>(CHRISTODOULIDES[[#This Row],[Total]] * (1 - CHRISTODOULIDES[[#This Row],[Discount (%)]]) + CHRISTODOULIDES[[#This Row],[ΕΦΚ]]) * (1 + CHRISTODOULIDES[[#This Row],[TAX (%)]])</f>
        <v>30.998159999999999</v>
      </c>
    </row>
    <row r="81" spans="1:13" x14ac:dyDescent="0.35">
      <c r="A81" s="12">
        <v>45947</v>
      </c>
      <c r="B81" s="6" t="s">
        <v>124</v>
      </c>
      <c r="C81" s="3" t="s">
        <v>77</v>
      </c>
      <c r="D81" s="3" t="s">
        <v>81</v>
      </c>
      <c r="E81" s="3" t="s">
        <v>42</v>
      </c>
      <c r="F81" s="3">
        <v>105</v>
      </c>
      <c r="G81" s="19">
        <v>0.48</v>
      </c>
      <c r="H81" s="2">
        <f>CHRISTODOULIDES[[#This Row],[Quantity]]*CHRISTODOULIDES[[#This Row],[Unit Price]]</f>
        <v>50.4</v>
      </c>
      <c r="I81" s="4">
        <v>0.35</v>
      </c>
      <c r="K81" s="4">
        <v>0.13</v>
      </c>
      <c r="L81" s="2">
        <f>(CHRISTODOULIDES[[#This Row],[Total]] * (1 - CHRISTODOULIDES[[#This Row],[Discount (%)]]) + CHRISTODOULIDES[[#This Row],[ΕΦΚ]]) * (1 + CHRISTODOULIDES[[#This Row],[TAX (%)]])</f>
        <v>37.018799999999992</v>
      </c>
    </row>
    <row r="82" spans="1:13" x14ac:dyDescent="0.35">
      <c r="A82" s="12">
        <v>45946</v>
      </c>
      <c r="B82" s="6" t="s">
        <v>122</v>
      </c>
      <c r="C82" s="3" t="s">
        <v>77</v>
      </c>
      <c r="D82" s="3" t="s">
        <v>92</v>
      </c>
      <c r="E82" s="3" t="s">
        <v>42</v>
      </c>
      <c r="F82" s="3">
        <v>30</v>
      </c>
      <c r="G82" s="19">
        <v>0.56999999999999995</v>
      </c>
      <c r="H82" s="2">
        <f>CHRISTODOULIDES[[#This Row],[Quantity]]*CHRISTODOULIDES[[#This Row],[Unit Price]]</f>
        <v>17.099999999999998</v>
      </c>
      <c r="I82" s="4">
        <v>0.2</v>
      </c>
      <c r="K82" s="4">
        <v>0.13</v>
      </c>
      <c r="L82" s="2">
        <f>(CHRISTODOULIDES[[#This Row],[Total]] * (1 - CHRISTODOULIDES[[#This Row],[Discount (%)]]) + CHRISTODOULIDES[[#This Row],[ΕΦΚ]]) * (1 + CHRISTODOULIDES[[#This Row],[TAX (%)]])</f>
        <v>15.458399999999997</v>
      </c>
      <c r="M82" s="2"/>
    </row>
    <row r="83" spans="1:13" x14ac:dyDescent="0.35">
      <c r="A83" s="12">
        <v>45946</v>
      </c>
      <c r="B83" s="6" t="s">
        <v>122</v>
      </c>
      <c r="C83" s="3" t="s">
        <v>77</v>
      </c>
      <c r="D83" s="3" t="s">
        <v>93</v>
      </c>
      <c r="E83" s="3" t="s">
        <v>42</v>
      </c>
      <c r="F83" s="3">
        <v>15</v>
      </c>
      <c r="G83" s="19">
        <v>0.56999999999999995</v>
      </c>
      <c r="H83" s="2">
        <f>CHRISTODOULIDES[[#This Row],[Quantity]]*CHRISTODOULIDES[[#This Row],[Unit Price]]</f>
        <v>8.5499999999999989</v>
      </c>
      <c r="I83" s="4">
        <v>0.2</v>
      </c>
      <c r="K83" s="4">
        <v>0.13</v>
      </c>
      <c r="L83" s="2">
        <f>(CHRISTODOULIDES[[#This Row],[Total]] * (1 - CHRISTODOULIDES[[#This Row],[Discount (%)]]) + CHRISTODOULIDES[[#This Row],[ΕΦΚ]]) * (1 + CHRISTODOULIDES[[#This Row],[TAX (%)]])</f>
        <v>7.7291999999999987</v>
      </c>
      <c r="M83" s="2"/>
    </row>
    <row r="84" spans="1:13" x14ac:dyDescent="0.35">
      <c r="A84" s="12">
        <v>45946</v>
      </c>
      <c r="B84" s="6" t="s">
        <v>122</v>
      </c>
      <c r="C84" s="3" t="s">
        <v>77</v>
      </c>
      <c r="D84" s="3" t="s">
        <v>123</v>
      </c>
      <c r="E84" s="3" t="s">
        <v>42</v>
      </c>
      <c r="F84" s="3">
        <v>30</v>
      </c>
      <c r="G84" s="19">
        <v>0.56999999999999995</v>
      </c>
      <c r="H84" s="2">
        <f>CHRISTODOULIDES[[#This Row],[Quantity]]*CHRISTODOULIDES[[#This Row],[Unit Price]]</f>
        <v>17.099999999999998</v>
      </c>
      <c r="I84" s="4">
        <v>0.2</v>
      </c>
      <c r="K84" s="4">
        <v>0.13</v>
      </c>
      <c r="L84" s="2">
        <f>(CHRISTODOULIDES[[#This Row],[Total]] * (1 - CHRISTODOULIDES[[#This Row],[Discount (%)]]) + CHRISTODOULIDES[[#This Row],[ΕΦΚ]]) * (1 + CHRISTODOULIDES[[#This Row],[TAX (%)]])</f>
        <v>15.458399999999997</v>
      </c>
    </row>
  </sheetData>
  <dataValidations count="3">
    <dataValidation type="date" allowBlank="1" showInputMessage="1" showErrorMessage="1" sqref="A1:A84" xr:uid="{D065CA20-50F7-4C1F-B68C-9338441281D4}">
      <formula1>1</formula1>
      <formula2>401404</formula2>
    </dataValidation>
    <dataValidation type="list" showInputMessage="1" showErrorMessage="1" sqref="C1:C1048576" xr:uid="{FAF82744-548C-43C7-8E30-52C8BE878696}">
      <formula1>"COFFEE,BEVERAGE,WINE,BEER,FOOD,DAIRY,ALCOHOL,NON-FOOD"</formula1>
    </dataValidation>
    <dataValidation type="list" showInputMessage="1" showErrorMessage="1" sqref="E1:E1048576" xr:uid="{5173731D-B9BF-475D-956B-0CB63166A06F}">
      <formula1>"ΤΕΜ,ΚΙΒ,ΦΙΑ,ΚΙΛΑ,ΛΙΤΡΑ,ΠΑΚ,ΑΛΛΟ"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E885-4553-439B-BFCA-0308A57E67F8}">
  <dimension ref="A1:M89"/>
  <sheetViews>
    <sheetView workbookViewId="0">
      <selection activeCell="P45" sqref="P45"/>
    </sheetView>
  </sheetViews>
  <sheetFormatPr defaultColWidth="9.1796875" defaultRowHeight="14" x14ac:dyDescent="0.3"/>
  <cols>
    <col min="1" max="1" width="11.26953125" style="48" bestFit="1" customWidth="1"/>
    <col min="2" max="2" width="14.7265625" style="16" bestFit="1" customWidth="1"/>
    <col min="3" max="3" width="12.54296875" style="16" bestFit="1" customWidth="1"/>
    <col min="4" max="4" width="63.81640625" style="16" bestFit="1" customWidth="1"/>
    <col min="5" max="5" width="8" style="16" bestFit="1" customWidth="1"/>
    <col min="6" max="6" width="11.7265625" style="16" bestFit="1" customWidth="1"/>
    <col min="7" max="7" width="14.7265625" style="20" bestFit="1" customWidth="1"/>
    <col min="8" max="8" width="10.453125" style="49" bestFit="1" customWidth="1"/>
    <col min="9" max="9" width="16.26953125" style="79" bestFit="1" customWidth="1"/>
    <col min="10" max="10" width="8" style="16" bestFit="1" customWidth="1"/>
    <col min="11" max="11" width="11.26953125" style="17" bestFit="1" customWidth="1"/>
    <col min="12" max="12" width="13.54296875" style="49" bestFit="1" customWidth="1"/>
    <col min="13" max="13" width="10.81640625" style="16" bestFit="1" customWidth="1"/>
    <col min="14" max="16384" width="9.1796875" style="16"/>
  </cols>
  <sheetData>
    <row r="1" spans="1:13" s="8" customFormat="1" x14ac:dyDescent="0.3">
      <c r="A1" s="54" t="s">
        <v>3</v>
      </c>
      <c r="B1" s="8" t="s">
        <v>8</v>
      </c>
      <c r="C1" s="8" t="s">
        <v>10</v>
      </c>
      <c r="D1" s="8" t="s">
        <v>97</v>
      </c>
      <c r="E1" s="16" t="s">
        <v>41</v>
      </c>
      <c r="F1" s="8" t="s">
        <v>4</v>
      </c>
      <c r="G1" s="22" t="s">
        <v>6</v>
      </c>
      <c r="H1" s="9" t="s">
        <v>5</v>
      </c>
      <c r="I1" s="77" t="s">
        <v>7</v>
      </c>
      <c r="J1" s="10" t="s">
        <v>60</v>
      </c>
      <c r="K1" s="10" t="s">
        <v>29</v>
      </c>
      <c r="L1" s="14" t="s">
        <v>11</v>
      </c>
      <c r="M1" s="8" t="s">
        <v>198</v>
      </c>
    </row>
    <row r="2" spans="1:13" s="3" customFormat="1" ht="15" customHeight="1" x14ac:dyDescent="0.3">
      <c r="A2" s="12">
        <v>46132</v>
      </c>
      <c r="B2" s="51" t="s">
        <v>296</v>
      </c>
      <c r="C2" s="3" t="s">
        <v>89</v>
      </c>
      <c r="D2" s="3" t="s">
        <v>293</v>
      </c>
      <c r="E2" s="3" t="s">
        <v>119</v>
      </c>
      <c r="F2" s="61">
        <v>3</v>
      </c>
      <c r="G2" s="19">
        <v>6.7</v>
      </c>
      <c r="H2" s="2">
        <f>Table510133233672[[#This Row],[Quantity]]*Table510133233672[[#This Row],[Unit Price]]</f>
        <v>20.100000000000001</v>
      </c>
      <c r="I2" s="78">
        <v>7.46E-2</v>
      </c>
      <c r="K2" s="4">
        <v>0.13</v>
      </c>
      <c r="L2" s="2">
        <f>(Table510133233672[[#This Row],[Total]] * (1 - Table510133233672[[#This Row],[Discount (%)]]) + Table510133233672[[#This Row],[ΕΦΚ]]) * (1 + Table510133233672[[#This Row],[TAX (%)]])</f>
        <v>21.018610200000001</v>
      </c>
      <c r="M2" s="16"/>
    </row>
    <row r="3" spans="1:13" x14ac:dyDescent="0.3">
      <c r="A3" s="12">
        <v>46132</v>
      </c>
      <c r="B3" s="51" t="s">
        <v>296</v>
      </c>
      <c r="C3" s="3" t="s">
        <v>89</v>
      </c>
      <c r="D3" s="3" t="s">
        <v>297</v>
      </c>
      <c r="E3" s="3" t="s">
        <v>53</v>
      </c>
      <c r="F3" s="61">
        <v>0.75</v>
      </c>
      <c r="G3" s="19">
        <v>9.4</v>
      </c>
      <c r="H3" s="2">
        <f>Table510133233672[[#This Row],[Quantity]]*Table510133233672[[#This Row],[Unit Price]]</f>
        <v>7.0500000000000007</v>
      </c>
      <c r="I3" s="78">
        <v>0.25</v>
      </c>
      <c r="J3" s="3"/>
      <c r="K3" s="4">
        <v>0.13</v>
      </c>
      <c r="L3" s="2">
        <f>(Table510133233672[[#This Row],[Total]] * (1 - Table510133233672[[#This Row],[Discount (%)]]) + Table510133233672[[#This Row],[ΕΦΚ]]) * (1 + Table510133233672[[#This Row],[TAX (%)]])</f>
        <v>5.9748749999999999</v>
      </c>
    </row>
    <row r="4" spans="1:13" x14ac:dyDescent="0.3">
      <c r="A4" s="12">
        <v>46132</v>
      </c>
      <c r="B4" s="51" t="s">
        <v>296</v>
      </c>
      <c r="C4" s="3" t="s">
        <v>89</v>
      </c>
      <c r="D4" s="3" t="s">
        <v>298</v>
      </c>
      <c r="E4" s="3" t="s">
        <v>53</v>
      </c>
      <c r="F4" s="61">
        <v>0.75</v>
      </c>
      <c r="G4" s="19">
        <v>5.47</v>
      </c>
      <c r="H4" s="2">
        <f>Table510133233672[[#This Row],[Quantity]]*Table510133233672[[#This Row],[Unit Price]]</f>
        <v>4.1025</v>
      </c>
      <c r="I4" s="78">
        <v>0.14990000000000001</v>
      </c>
      <c r="J4" s="3"/>
      <c r="K4" s="4">
        <v>0.13</v>
      </c>
      <c r="L4" s="2">
        <f>(Table510133233672[[#This Row],[Total]] * (1 - Table510133233672[[#This Row],[Discount (%)]]) + Table510133233672[[#This Row],[ΕΦΚ]]) * (1 + Table510133233672[[#This Row],[TAX (%)]])</f>
        <v>3.9409148324999999</v>
      </c>
    </row>
    <row r="5" spans="1:13" x14ac:dyDescent="0.3">
      <c r="A5" s="12">
        <v>46132</v>
      </c>
      <c r="B5" s="51" t="s">
        <v>296</v>
      </c>
      <c r="C5" s="3" t="s">
        <v>89</v>
      </c>
      <c r="D5" s="3" t="s">
        <v>299</v>
      </c>
      <c r="E5" s="3" t="s">
        <v>53</v>
      </c>
      <c r="F5" s="61">
        <v>1</v>
      </c>
      <c r="G5" s="19">
        <v>7.4</v>
      </c>
      <c r="H5" s="2">
        <f>Table510133233672[[#This Row],[Quantity]]*Table510133233672[[#This Row],[Unit Price]]</f>
        <v>7.4</v>
      </c>
      <c r="I5" s="78">
        <v>0.25679999999999997</v>
      </c>
      <c r="J5" s="3"/>
      <c r="K5" s="4">
        <v>0.13</v>
      </c>
      <c r="L5" s="2">
        <f>(Table510133233672[[#This Row],[Total]] * (1 - Table510133233672[[#This Row],[Discount (%)]]) + Table510133233672[[#This Row],[ΕΦΚ]]) * (1 + Table510133233672[[#This Row],[TAX (%)]])</f>
        <v>6.2146384000000001</v>
      </c>
    </row>
    <row r="6" spans="1:13" x14ac:dyDescent="0.3">
      <c r="A6" s="12">
        <v>46132</v>
      </c>
      <c r="B6" s="51" t="s">
        <v>296</v>
      </c>
      <c r="C6" s="3" t="s">
        <v>77</v>
      </c>
      <c r="D6" s="3" t="s">
        <v>300</v>
      </c>
      <c r="E6" s="3" t="s">
        <v>42</v>
      </c>
      <c r="F6" s="61">
        <v>1</v>
      </c>
      <c r="G6" s="19">
        <v>6.6</v>
      </c>
      <c r="H6" s="2">
        <f>Table510133233672[[#This Row],[Quantity]]*Table510133233672[[#This Row],[Unit Price]]</f>
        <v>6.6</v>
      </c>
      <c r="I6" s="78"/>
      <c r="J6" s="3"/>
      <c r="K6" s="4">
        <v>0.13</v>
      </c>
      <c r="L6" s="2">
        <f>(Table510133233672[[#This Row],[Total]] * (1 - Table510133233672[[#This Row],[Discount (%)]]) + Table510133233672[[#This Row],[ΕΦΚ]]) * (1 + Table510133233672[[#This Row],[TAX (%)]])</f>
        <v>7.4579999999999993</v>
      </c>
    </row>
    <row r="7" spans="1:13" x14ac:dyDescent="0.3">
      <c r="A7" s="12">
        <v>46130</v>
      </c>
      <c r="B7" s="3" t="s">
        <v>292</v>
      </c>
      <c r="C7" s="3" t="s">
        <v>89</v>
      </c>
      <c r="D7" s="3" t="s">
        <v>293</v>
      </c>
      <c r="E7" s="3" t="s">
        <v>119</v>
      </c>
      <c r="F7" s="61">
        <v>4</v>
      </c>
      <c r="G7" s="19">
        <v>6.7</v>
      </c>
      <c r="H7" s="2">
        <f>Table510133233672[[#This Row],[Quantity]]*Table510133233672[[#This Row],[Unit Price]]</f>
        <v>26.8</v>
      </c>
      <c r="I7" s="78">
        <v>7.46E-2</v>
      </c>
      <c r="J7" s="3"/>
      <c r="K7" s="4">
        <v>0.13</v>
      </c>
      <c r="L7" s="2">
        <f>(Table510133233672[[#This Row],[Total]] * (1 - Table510133233672[[#This Row],[Discount (%)]]) + Table510133233672[[#This Row],[ΕΦΚ]]) * (1 + Table510133233672[[#This Row],[TAX (%)]])</f>
        <v>28.024813599999998</v>
      </c>
    </row>
    <row r="8" spans="1:13" x14ac:dyDescent="0.3">
      <c r="A8" s="12">
        <v>46130</v>
      </c>
      <c r="B8" s="3" t="s">
        <v>292</v>
      </c>
      <c r="C8" s="3" t="s">
        <v>89</v>
      </c>
      <c r="D8" s="3" t="s">
        <v>294</v>
      </c>
      <c r="E8" s="3" t="s">
        <v>295</v>
      </c>
      <c r="F8" s="61">
        <v>4</v>
      </c>
      <c r="G8" s="19">
        <v>3.22</v>
      </c>
      <c r="H8" s="2">
        <f>Table510133233672[[#This Row],[Quantity]]*Table510133233672[[#This Row],[Unit Price]]</f>
        <v>12.88</v>
      </c>
      <c r="I8" s="78"/>
      <c r="J8" s="3"/>
      <c r="K8" s="4">
        <v>0.13</v>
      </c>
      <c r="L8" s="2">
        <f>(Table510133233672[[#This Row],[Total]] * (1 - Table510133233672[[#This Row],[Discount (%)]]) + Table510133233672[[#This Row],[ΕΦΚ]]) * (1 + Table510133233672[[#This Row],[TAX (%)]])</f>
        <v>14.554399999999999</v>
      </c>
      <c r="M8" s="16" t="s">
        <v>310</v>
      </c>
    </row>
    <row r="9" spans="1:13" x14ac:dyDescent="0.3">
      <c r="A9" s="12">
        <v>46127</v>
      </c>
      <c r="B9" s="3" t="s">
        <v>289</v>
      </c>
      <c r="C9" s="3" t="s">
        <v>89</v>
      </c>
      <c r="D9" s="3" t="s">
        <v>290</v>
      </c>
      <c r="E9" s="3" t="s">
        <v>42</v>
      </c>
      <c r="F9" s="3">
        <v>12</v>
      </c>
      <c r="G9" s="19">
        <v>1.65</v>
      </c>
      <c r="H9" s="2">
        <f>Table510133233672[[#This Row],[Quantity]]*Table510133233672[[#This Row],[Unit Price]]</f>
        <v>19.799999999999997</v>
      </c>
      <c r="I9" s="78">
        <v>0.09</v>
      </c>
      <c r="J9" s="4"/>
      <c r="K9" s="4">
        <v>0.13</v>
      </c>
      <c r="L9" s="5">
        <f>(Table510133233672[[#This Row],[Total]] * (1 - Table510133233672[[#This Row],[Discount (%)]]) + Table510133233672[[#This Row],[ΕΦΚ]]) * (1 + Table510133233672[[#This Row],[TAX (%)]])</f>
        <v>20.360339999999994</v>
      </c>
      <c r="M9" s="3"/>
    </row>
    <row r="10" spans="1:13" x14ac:dyDescent="0.3">
      <c r="A10" s="12">
        <v>46126</v>
      </c>
      <c r="B10" s="51" t="s">
        <v>301</v>
      </c>
      <c r="C10" s="3" t="s">
        <v>77</v>
      </c>
      <c r="D10" s="3" t="s">
        <v>302</v>
      </c>
      <c r="E10" s="3" t="s">
        <v>295</v>
      </c>
      <c r="F10" s="61">
        <v>1</v>
      </c>
      <c r="G10" s="19">
        <v>16</v>
      </c>
      <c r="H10" s="2">
        <f>Table510133233672[[#This Row],[Quantity]]*Table510133233672[[#This Row],[Unit Price]]</f>
        <v>16</v>
      </c>
      <c r="I10" s="78">
        <v>9.3799999999999994E-2</v>
      </c>
      <c r="J10" s="3"/>
      <c r="K10" s="4">
        <v>0.13</v>
      </c>
      <c r="L10" s="2">
        <f>(Table510133233672[[#This Row],[Total]] * (1 - Table510133233672[[#This Row],[Discount (%)]]) + Table510133233672[[#This Row],[ΕΦΚ]]) * (1 + Table510133233672[[#This Row],[TAX (%)]])</f>
        <v>16.384096</v>
      </c>
      <c r="M10" s="16" t="s">
        <v>311</v>
      </c>
    </row>
    <row r="11" spans="1:13" x14ac:dyDescent="0.3">
      <c r="A11" s="12">
        <v>46126</v>
      </c>
      <c r="B11" s="51" t="s">
        <v>301</v>
      </c>
      <c r="C11" s="3" t="s">
        <v>89</v>
      </c>
      <c r="D11" s="3" t="s">
        <v>303</v>
      </c>
      <c r="E11" s="3" t="s">
        <v>53</v>
      </c>
      <c r="F11" s="61">
        <v>1</v>
      </c>
      <c r="G11" s="19">
        <v>12.45</v>
      </c>
      <c r="H11" s="2">
        <f>Table510133233672[[#This Row],[Quantity]]*Table510133233672[[#This Row],[Unit Price]]</f>
        <v>12.45</v>
      </c>
      <c r="I11" s="78"/>
      <c r="J11" s="3"/>
      <c r="K11" s="4">
        <v>0.13</v>
      </c>
      <c r="L11" s="2">
        <f>(Table510133233672[[#This Row],[Total]] * (1 - Table510133233672[[#This Row],[Discount (%)]]) + Table510133233672[[#This Row],[ΕΦΚ]]) * (1 + Table510133233672[[#This Row],[TAX (%)]])</f>
        <v>14.068499999999998</v>
      </c>
    </row>
    <row r="12" spans="1:13" x14ac:dyDescent="0.3">
      <c r="A12" s="12">
        <v>46126</v>
      </c>
      <c r="B12" s="51" t="s">
        <v>301</v>
      </c>
      <c r="C12" s="3" t="s">
        <v>89</v>
      </c>
      <c r="D12" s="3" t="s">
        <v>304</v>
      </c>
      <c r="E12" s="3" t="s">
        <v>49</v>
      </c>
      <c r="F12" s="61">
        <v>1</v>
      </c>
      <c r="G12" s="19">
        <v>3.65</v>
      </c>
      <c r="H12" s="2">
        <f>Table510133233672[[#This Row],[Quantity]]*Table510133233672[[#This Row],[Unit Price]]</f>
        <v>3.65</v>
      </c>
      <c r="I12" s="78">
        <v>4.1099999999999998E-2</v>
      </c>
      <c r="J12" s="3"/>
      <c r="K12" s="4">
        <v>0.13</v>
      </c>
      <c r="L12" s="2">
        <f>(Table510133233672[[#This Row],[Total]] * (1 - Table510133233672[[#This Row],[Discount (%)]]) + Table510133233672[[#This Row],[ΕΦΚ]]) * (1 + Table510133233672[[#This Row],[TAX (%)]])</f>
        <v>3.9549830499999992</v>
      </c>
    </row>
    <row r="13" spans="1:13" x14ac:dyDescent="0.3">
      <c r="A13" s="12">
        <v>46126</v>
      </c>
      <c r="B13" s="51" t="s">
        <v>301</v>
      </c>
      <c r="C13" s="3" t="s">
        <v>89</v>
      </c>
      <c r="D13" s="3" t="s">
        <v>293</v>
      </c>
      <c r="E13" s="3" t="s">
        <v>119</v>
      </c>
      <c r="F13" s="61">
        <v>4</v>
      </c>
      <c r="G13" s="19">
        <v>6.7</v>
      </c>
      <c r="H13" s="2">
        <f>Table510133233672[[#This Row],[Quantity]]*Table510133233672[[#This Row],[Unit Price]]</f>
        <v>26.8</v>
      </c>
      <c r="I13" s="78">
        <v>7.46E-2</v>
      </c>
      <c r="J13" s="3"/>
      <c r="K13" s="4">
        <v>0.13</v>
      </c>
      <c r="L13" s="2">
        <f>(Table510133233672[[#This Row],[Total]] * (1 - Table510133233672[[#This Row],[Discount (%)]]) + Table510133233672[[#This Row],[ΕΦΚ]]) * (1 + Table510133233672[[#This Row],[TAX (%)]])</f>
        <v>28.024813599999998</v>
      </c>
    </row>
    <row r="14" spans="1:13" x14ac:dyDescent="0.3">
      <c r="A14" s="12">
        <v>46126</v>
      </c>
      <c r="B14" s="51" t="s">
        <v>301</v>
      </c>
      <c r="C14" s="3" t="s">
        <v>89</v>
      </c>
      <c r="D14" s="3" t="s">
        <v>298</v>
      </c>
      <c r="E14" s="3" t="s">
        <v>53</v>
      </c>
      <c r="F14" s="61">
        <v>0.87</v>
      </c>
      <c r="G14" s="19">
        <v>5.47</v>
      </c>
      <c r="H14" s="2">
        <f>Table510133233672[[#This Row],[Quantity]]*Table510133233672[[#This Row],[Unit Price]]</f>
        <v>4.7588999999999997</v>
      </c>
      <c r="I14" s="78">
        <v>0.14990000000000001</v>
      </c>
      <c r="J14" s="3"/>
      <c r="K14" s="4">
        <v>0.13</v>
      </c>
      <c r="L14" s="2">
        <f>(Table510133233672[[#This Row],[Total]] * (1 - Table510133233672[[#This Row],[Discount (%)]]) + Table510133233672[[#This Row],[ΕΦΚ]]) * (1 + Table510133233672[[#This Row],[TAX (%)]])</f>
        <v>4.5714612056999995</v>
      </c>
    </row>
    <row r="15" spans="1:13" x14ac:dyDescent="0.3">
      <c r="A15" s="12">
        <v>46126</v>
      </c>
      <c r="B15" s="51" t="s">
        <v>301</v>
      </c>
      <c r="C15" s="3" t="s">
        <v>89</v>
      </c>
      <c r="D15" s="3" t="s">
        <v>297</v>
      </c>
      <c r="E15" s="3" t="s">
        <v>53</v>
      </c>
      <c r="F15" s="61">
        <v>0.83</v>
      </c>
      <c r="G15" s="19">
        <v>9.4</v>
      </c>
      <c r="H15" s="2">
        <f>Table510133233672[[#This Row],[Quantity]]*Table510133233672[[#This Row],[Unit Price]]</f>
        <v>7.8019999999999996</v>
      </c>
      <c r="I15" s="78">
        <v>0.25</v>
      </c>
      <c r="J15" s="3"/>
      <c r="K15" s="4">
        <v>0.13</v>
      </c>
      <c r="L15" s="2">
        <f>(Table510133233672[[#This Row],[Total]] * (1 - Table510133233672[[#This Row],[Discount (%)]]) + Table510133233672[[#This Row],[ΕΦΚ]]) * (1 + Table510133233672[[#This Row],[TAX (%)]])</f>
        <v>6.6121949999999989</v>
      </c>
    </row>
    <row r="16" spans="1:13" x14ac:dyDescent="0.3">
      <c r="A16" s="12">
        <v>46126</v>
      </c>
      <c r="B16" s="51" t="s">
        <v>301</v>
      </c>
      <c r="C16" s="3" t="s">
        <v>89</v>
      </c>
      <c r="D16" s="3" t="s">
        <v>299</v>
      </c>
      <c r="E16" s="3" t="s">
        <v>53</v>
      </c>
      <c r="F16" s="61">
        <v>1</v>
      </c>
      <c r="G16" s="19">
        <v>7.4</v>
      </c>
      <c r="H16" s="2">
        <f>Table510133233672[[#This Row],[Quantity]]*Table510133233672[[#This Row],[Unit Price]]</f>
        <v>7.4</v>
      </c>
      <c r="I16" s="78">
        <v>0.25679999999999997</v>
      </c>
      <c r="J16" s="3"/>
      <c r="K16" s="4">
        <v>0.13</v>
      </c>
      <c r="L16" s="2">
        <f>(Table510133233672[[#This Row],[Total]] * (1 - Table510133233672[[#This Row],[Discount (%)]]) + Table510133233672[[#This Row],[ΕΦΚ]]) * (1 + Table510133233672[[#This Row],[TAX (%)]])</f>
        <v>6.2146384000000001</v>
      </c>
    </row>
    <row r="17" spans="1:13" x14ac:dyDescent="0.3">
      <c r="A17" s="12">
        <v>46126</v>
      </c>
      <c r="B17" s="51" t="s">
        <v>301</v>
      </c>
      <c r="C17" s="3" t="s">
        <v>89</v>
      </c>
      <c r="D17" s="3" t="s">
        <v>305</v>
      </c>
      <c r="E17" s="3" t="s">
        <v>42</v>
      </c>
      <c r="F17" s="61">
        <v>1</v>
      </c>
      <c r="G17" s="19">
        <v>19.899999999999999</v>
      </c>
      <c r="H17" s="2">
        <f>Table510133233672[[#This Row],[Quantity]]*Table510133233672[[#This Row],[Unit Price]]</f>
        <v>19.899999999999999</v>
      </c>
      <c r="I17" s="78"/>
      <c r="J17" s="3"/>
      <c r="K17" s="4">
        <v>0.13</v>
      </c>
      <c r="L17" s="2">
        <f>(Table510133233672[[#This Row],[Total]] * (1 - Table510133233672[[#This Row],[Discount (%)]]) + Table510133233672[[#This Row],[ΕΦΚ]]) * (1 + Table510133233672[[#This Row],[TAX (%)]])</f>
        <v>22.486999999999995</v>
      </c>
    </row>
    <row r="18" spans="1:13" x14ac:dyDescent="0.3">
      <c r="A18" s="12">
        <v>46126</v>
      </c>
      <c r="B18" s="51" t="s">
        <v>301</v>
      </c>
      <c r="C18" s="3" t="s">
        <v>89</v>
      </c>
      <c r="D18" s="3" t="s">
        <v>306</v>
      </c>
      <c r="E18" s="3" t="s">
        <v>42</v>
      </c>
      <c r="F18" s="61">
        <v>1</v>
      </c>
      <c r="G18" s="19">
        <v>5.9</v>
      </c>
      <c r="H18" s="2">
        <f>Table510133233672[[#This Row],[Quantity]]*Table510133233672[[#This Row],[Unit Price]]</f>
        <v>5.9</v>
      </c>
      <c r="I18" s="78">
        <v>3.39E-2</v>
      </c>
      <c r="J18" s="3"/>
      <c r="K18" s="4">
        <v>0.13</v>
      </c>
      <c r="L18" s="2">
        <f>(Table510133233672[[#This Row],[Total]] * (1 - Table510133233672[[#This Row],[Discount (%)]]) + Table510133233672[[#This Row],[ΕΦΚ]]) * (1 + Table510133233672[[#This Row],[TAX (%)]])</f>
        <v>6.4409886999999992</v>
      </c>
    </row>
    <row r="19" spans="1:13" x14ac:dyDescent="0.3">
      <c r="A19" s="12">
        <v>46126</v>
      </c>
      <c r="B19" s="51" t="s">
        <v>301</v>
      </c>
      <c r="C19" s="3" t="s">
        <v>89</v>
      </c>
      <c r="D19" s="3" t="s">
        <v>307</v>
      </c>
      <c r="E19" s="3" t="s">
        <v>295</v>
      </c>
      <c r="F19" s="61">
        <v>4</v>
      </c>
      <c r="G19" s="19">
        <v>3.71</v>
      </c>
      <c r="H19" s="2">
        <f>Table510133233672[[#This Row],[Quantity]]*Table510133233672[[#This Row],[Unit Price]]</f>
        <v>14.84</v>
      </c>
      <c r="I19" s="78"/>
      <c r="J19" s="3"/>
      <c r="K19" s="4">
        <v>0.13</v>
      </c>
      <c r="L19" s="2">
        <f>(Table510133233672[[#This Row],[Total]] * (1 - Table510133233672[[#This Row],[Discount (%)]]) + Table510133233672[[#This Row],[ΕΦΚ]]) * (1 + Table510133233672[[#This Row],[TAX (%)]])</f>
        <v>16.769199999999998</v>
      </c>
      <c r="M19" s="16" t="s">
        <v>310</v>
      </c>
    </row>
    <row r="20" spans="1:13" x14ac:dyDescent="0.3">
      <c r="A20" s="12">
        <v>46126</v>
      </c>
      <c r="B20" s="51" t="s">
        <v>301</v>
      </c>
      <c r="C20" s="3" t="s">
        <v>89</v>
      </c>
      <c r="D20" s="3" t="s">
        <v>308</v>
      </c>
      <c r="E20" s="3" t="s">
        <v>53</v>
      </c>
      <c r="F20" s="61">
        <v>1.05</v>
      </c>
      <c r="G20" s="19">
        <v>7.77</v>
      </c>
      <c r="H20" s="2">
        <f>Table510133233672[[#This Row],[Quantity]]*Table510133233672[[#This Row],[Unit Price]]</f>
        <v>8.1585000000000001</v>
      </c>
      <c r="I20" s="78">
        <v>0.2535</v>
      </c>
      <c r="J20" s="3"/>
      <c r="K20" s="4">
        <v>0.13</v>
      </c>
      <c r="L20" s="2">
        <f>(Table510133233672[[#This Row],[Total]] * (1 - Table510133233672[[#This Row],[Discount (%)]]) + Table510133233672[[#This Row],[ΕΦΚ]]) * (1 + Table510133233672[[#This Row],[TAX (%)]])</f>
        <v>6.8820618824999986</v>
      </c>
    </row>
    <row r="21" spans="1:13" x14ac:dyDescent="0.3">
      <c r="A21" s="12">
        <v>46121</v>
      </c>
      <c r="B21" s="51" t="s">
        <v>343</v>
      </c>
      <c r="C21" s="3" t="s">
        <v>89</v>
      </c>
      <c r="D21" s="3" t="s">
        <v>293</v>
      </c>
      <c r="E21" s="3" t="s">
        <v>119</v>
      </c>
      <c r="F21" s="61">
        <v>3</v>
      </c>
      <c r="G21" s="19">
        <v>6.7</v>
      </c>
      <c r="H21" s="2">
        <f>Table510133233672[[#This Row],[Quantity]]*Table510133233672[[#This Row],[Unit Price]]</f>
        <v>20.100000000000001</v>
      </c>
      <c r="I21" s="78">
        <v>7.46E-2</v>
      </c>
      <c r="J21" s="3"/>
      <c r="K21" s="4">
        <v>0.13</v>
      </c>
      <c r="L21" s="2">
        <f>(Table510133233672[[#This Row],[Total]] * (1 - Table510133233672[[#This Row],[Discount (%)]]) + Table510133233672[[#This Row],[ΕΦΚ]]) * (1 + Table510133233672[[#This Row],[TAX (%)]])</f>
        <v>21.018610200000001</v>
      </c>
    </row>
    <row r="22" spans="1:13" x14ac:dyDescent="0.3">
      <c r="A22" s="12">
        <v>46121</v>
      </c>
      <c r="B22" s="51" t="s">
        <v>343</v>
      </c>
      <c r="C22" s="3" t="s">
        <v>89</v>
      </c>
      <c r="D22" s="3" t="s">
        <v>307</v>
      </c>
      <c r="E22" s="3" t="s">
        <v>295</v>
      </c>
      <c r="F22" s="61">
        <v>3</v>
      </c>
      <c r="G22" s="19">
        <v>3.71</v>
      </c>
      <c r="H22" s="2">
        <f>Table510133233672[[#This Row],[Quantity]]*Table510133233672[[#This Row],[Unit Price]]</f>
        <v>11.129999999999999</v>
      </c>
      <c r="I22" s="78"/>
      <c r="J22" s="3"/>
      <c r="K22" s="4">
        <v>0.13</v>
      </c>
      <c r="L22" s="2">
        <f>(Table510133233672[[#This Row],[Total]] * (1 - Table510133233672[[#This Row],[Discount (%)]]) + Table510133233672[[#This Row],[ΕΦΚ]]) * (1 + Table510133233672[[#This Row],[TAX (%)]])</f>
        <v>12.576899999999998</v>
      </c>
      <c r="M22" s="16" t="s">
        <v>310</v>
      </c>
    </row>
    <row r="23" spans="1:13" x14ac:dyDescent="0.3">
      <c r="A23" s="12">
        <v>46121</v>
      </c>
      <c r="B23" s="51" t="s">
        <v>343</v>
      </c>
      <c r="C23" s="3" t="s">
        <v>89</v>
      </c>
      <c r="D23" s="3" t="s">
        <v>298</v>
      </c>
      <c r="E23" s="3" t="s">
        <v>53</v>
      </c>
      <c r="F23" s="61">
        <v>0.77</v>
      </c>
      <c r="G23" s="19">
        <v>5.47</v>
      </c>
      <c r="H23" s="2">
        <f>Table510133233672[[#This Row],[Quantity]]*Table510133233672[[#This Row],[Unit Price]]</f>
        <v>4.2119</v>
      </c>
      <c r="I23" s="78">
        <v>0.14990000000000001</v>
      </c>
      <c r="J23" s="3"/>
      <c r="K23" s="4">
        <v>0.13</v>
      </c>
      <c r="L23" s="2">
        <f>(Table510133233672[[#This Row],[Total]] * (1 - Table510133233672[[#This Row],[Discount (%)]]) + Table510133233672[[#This Row],[ΕΦΚ]]) * (1 + Table510133233672[[#This Row],[TAX (%)]])</f>
        <v>4.0460058946999995</v>
      </c>
    </row>
    <row r="24" spans="1:13" x14ac:dyDescent="0.3">
      <c r="A24" s="12">
        <v>46119</v>
      </c>
      <c r="B24" s="51" t="s">
        <v>342</v>
      </c>
      <c r="C24" s="3" t="s">
        <v>89</v>
      </c>
      <c r="D24" s="3" t="s">
        <v>299</v>
      </c>
      <c r="E24" s="3" t="s">
        <v>53</v>
      </c>
      <c r="F24" s="61">
        <v>1</v>
      </c>
      <c r="G24" s="19">
        <v>7.4</v>
      </c>
      <c r="H24" s="2">
        <f>Table510133233672[[#This Row],[Quantity]]*Table510133233672[[#This Row],[Unit Price]]</f>
        <v>7.4</v>
      </c>
      <c r="I24" s="78">
        <v>0.37840000000000001</v>
      </c>
      <c r="J24" s="3"/>
      <c r="K24" s="4">
        <v>0.13</v>
      </c>
      <c r="L24" s="2">
        <f>(Table510133233672[[#This Row],[Total]] * (1 - Table510133233672[[#This Row],[Discount (%)]]) + Table510133233672[[#This Row],[ΕΦΚ]]) * (1 + Table510133233672[[#This Row],[TAX (%)]])</f>
        <v>5.1978191999999988</v>
      </c>
    </row>
    <row r="25" spans="1:13" x14ac:dyDescent="0.3">
      <c r="A25" s="12">
        <v>46119</v>
      </c>
      <c r="B25" s="51" t="s">
        <v>342</v>
      </c>
      <c r="C25" s="3" t="s">
        <v>89</v>
      </c>
      <c r="D25" s="3" t="s">
        <v>297</v>
      </c>
      <c r="E25" s="3" t="s">
        <v>53</v>
      </c>
      <c r="F25" s="61">
        <v>0.72</v>
      </c>
      <c r="G25" s="19">
        <v>9.4</v>
      </c>
      <c r="H25" s="2">
        <f>Table510133233672[[#This Row],[Quantity]]*Table510133233672[[#This Row],[Unit Price]]</f>
        <v>6.7679999999999998</v>
      </c>
      <c r="I25" s="78">
        <v>0.25</v>
      </c>
      <c r="J25" s="3"/>
      <c r="K25" s="4">
        <v>0.13</v>
      </c>
      <c r="L25" s="2">
        <f>(Table510133233672[[#This Row],[Total]] * (1 - Table510133233672[[#This Row],[Discount (%)]]) + Table510133233672[[#This Row],[ΕΦΚ]]) * (1 + Table510133233672[[#This Row],[TAX (%)]])</f>
        <v>5.735879999999999</v>
      </c>
    </row>
    <row r="26" spans="1:13" x14ac:dyDescent="0.3">
      <c r="A26" s="12">
        <v>46119</v>
      </c>
      <c r="B26" s="51" t="s">
        <v>342</v>
      </c>
      <c r="C26" s="3" t="s">
        <v>89</v>
      </c>
      <c r="D26" s="3" t="s">
        <v>293</v>
      </c>
      <c r="E26" s="3" t="s">
        <v>119</v>
      </c>
      <c r="F26" s="61">
        <v>3</v>
      </c>
      <c r="G26" s="19">
        <v>6.7</v>
      </c>
      <c r="H26" s="2">
        <f>Table510133233672[[#This Row],[Quantity]]*Table510133233672[[#This Row],[Unit Price]]</f>
        <v>20.100000000000001</v>
      </c>
      <c r="I26" s="78">
        <v>7.46E-2</v>
      </c>
      <c r="J26" s="3"/>
      <c r="K26" s="4">
        <v>0.13</v>
      </c>
      <c r="L26" s="2">
        <f>(Table510133233672[[#This Row],[Total]] * (1 - Table510133233672[[#This Row],[Discount (%)]]) + Table510133233672[[#This Row],[ΕΦΚ]]) * (1 + Table510133233672[[#This Row],[TAX (%)]])</f>
        <v>21.018610200000001</v>
      </c>
    </row>
    <row r="27" spans="1:13" x14ac:dyDescent="0.3">
      <c r="A27" s="12">
        <v>46119</v>
      </c>
      <c r="B27" s="51" t="s">
        <v>342</v>
      </c>
      <c r="C27" s="3" t="s">
        <v>89</v>
      </c>
      <c r="D27" s="3" t="s">
        <v>290</v>
      </c>
      <c r="E27" s="3" t="s">
        <v>42</v>
      </c>
      <c r="F27" s="61">
        <v>5</v>
      </c>
      <c r="G27" s="19">
        <v>1.65</v>
      </c>
      <c r="H27" s="2">
        <f>Table510133233672[[#This Row],[Quantity]]*Table510133233672[[#This Row],[Unit Price]]</f>
        <v>8.25</v>
      </c>
      <c r="I27" s="78">
        <v>0.09</v>
      </c>
      <c r="J27" s="3"/>
      <c r="K27" s="4">
        <v>0.13</v>
      </c>
      <c r="L27" s="2">
        <f>(Table510133233672[[#This Row],[Total]] * (1 - Table510133233672[[#This Row],[Discount (%)]]) + Table510133233672[[#This Row],[ΕΦΚ]]) * (1 + Table510133233672[[#This Row],[TAX (%)]])</f>
        <v>8.4834750000000003</v>
      </c>
    </row>
    <row r="28" spans="1:13" x14ac:dyDescent="0.3">
      <c r="A28" s="12">
        <v>46119</v>
      </c>
      <c r="B28" s="51" t="s">
        <v>342</v>
      </c>
      <c r="C28" s="3" t="s">
        <v>89</v>
      </c>
      <c r="D28" s="3" t="s">
        <v>308</v>
      </c>
      <c r="E28" s="3" t="s">
        <v>53</v>
      </c>
      <c r="F28" s="61">
        <v>0.96</v>
      </c>
      <c r="G28" s="19">
        <v>7.77</v>
      </c>
      <c r="H28" s="2">
        <f>Table510133233672[[#This Row],[Quantity]]*Table510133233672[[#This Row],[Unit Price]]</f>
        <v>7.4591999999999992</v>
      </c>
      <c r="I28" s="78">
        <v>0.2535</v>
      </c>
      <c r="J28" s="3"/>
      <c r="K28" s="4">
        <v>0.13</v>
      </c>
      <c r="L28" s="2">
        <f>(Table510133233672[[#This Row],[Total]] * (1 - Table510133233672[[#This Row],[Discount (%)]]) + Table510133233672[[#This Row],[ΕΦΚ]]) * (1 + Table510133233672[[#This Row],[TAX (%)]])</f>
        <v>6.2921708639999983</v>
      </c>
    </row>
    <row r="29" spans="1:13" x14ac:dyDescent="0.3">
      <c r="A29" s="12">
        <v>46116</v>
      </c>
      <c r="B29" s="51" t="s">
        <v>312</v>
      </c>
      <c r="C29" s="3" t="s">
        <v>89</v>
      </c>
      <c r="D29" s="3" t="s">
        <v>293</v>
      </c>
      <c r="E29" s="3" t="s">
        <v>119</v>
      </c>
      <c r="F29" s="61">
        <v>4</v>
      </c>
      <c r="G29" s="19">
        <v>6.7</v>
      </c>
      <c r="H29" s="2">
        <f>Table510133233672[[#This Row],[Quantity]]*Table510133233672[[#This Row],[Unit Price]]</f>
        <v>26.8</v>
      </c>
      <c r="I29" s="78">
        <v>7.46E-2</v>
      </c>
      <c r="J29" s="3"/>
      <c r="K29" s="4">
        <v>0.13</v>
      </c>
      <c r="L29" s="2">
        <f>(Table510133233672[[#This Row],[Total]] * (1 - Table510133233672[[#This Row],[Discount (%)]]) + Table510133233672[[#This Row],[ΕΦΚ]]) * (1 + Table510133233672[[#This Row],[TAX (%)]])</f>
        <v>28.024813599999998</v>
      </c>
    </row>
    <row r="30" spans="1:13" x14ac:dyDescent="0.3">
      <c r="A30" s="12">
        <v>46116</v>
      </c>
      <c r="B30" s="51" t="s">
        <v>312</v>
      </c>
      <c r="C30" s="3" t="s">
        <v>89</v>
      </c>
      <c r="D30" s="3" t="s">
        <v>307</v>
      </c>
      <c r="E30" s="3" t="s">
        <v>295</v>
      </c>
      <c r="F30" s="61">
        <v>3</v>
      </c>
      <c r="G30" s="19">
        <v>3.71</v>
      </c>
      <c r="H30" s="2">
        <f>Table510133233672[[#This Row],[Quantity]]*Table510133233672[[#This Row],[Unit Price]]</f>
        <v>11.129999999999999</v>
      </c>
      <c r="I30" s="78"/>
      <c r="J30" s="3"/>
      <c r="K30" s="4">
        <v>0.13</v>
      </c>
      <c r="L30" s="2">
        <f>(Table510133233672[[#This Row],[Total]] * (1 - Table510133233672[[#This Row],[Discount (%)]]) + Table510133233672[[#This Row],[ΕΦΚ]]) * (1 + Table510133233672[[#This Row],[TAX (%)]])</f>
        <v>12.576899999999998</v>
      </c>
      <c r="M30" s="16" t="s">
        <v>310</v>
      </c>
    </row>
    <row r="31" spans="1:13" x14ac:dyDescent="0.3">
      <c r="A31" s="12">
        <v>46113</v>
      </c>
      <c r="B31" s="51" t="s">
        <v>322</v>
      </c>
      <c r="C31" s="3" t="s">
        <v>89</v>
      </c>
      <c r="D31" s="3" t="s">
        <v>308</v>
      </c>
      <c r="E31" s="3" t="s">
        <v>53</v>
      </c>
      <c r="F31" s="61">
        <v>0.88</v>
      </c>
      <c r="G31" s="19">
        <v>7.77</v>
      </c>
      <c r="H31" s="2">
        <f>Table510133233672[[#This Row],[Quantity]]*Table510133233672[[#This Row],[Unit Price]]</f>
        <v>6.8375999999999992</v>
      </c>
      <c r="I31" s="78">
        <v>0.2535</v>
      </c>
      <c r="J31" s="3"/>
      <c r="K31" s="4">
        <v>0.13</v>
      </c>
      <c r="L31" s="2">
        <f>(Table510133233672[[#This Row],[Total]] * (1 - Table510133233672[[#This Row],[Discount (%)]]) + Table510133233672[[#This Row],[ΕΦΚ]]) * (1 + Table510133233672[[#This Row],[TAX (%)]])</f>
        <v>5.7678232919999983</v>
      </c>
    </row>
    <row r="32" spans="1:13" x14ac:dyDescent="0.3">
      <c r="A32" s="12">
        <v>46113</v>
      </c>
      <c r="B32" s="51" t="s">
        <v>322</v>
      </c>
      <c r="C32" s="3" t="s">
        <v>89</v>
      </c>
      <c r="D32" s="3" t="s">
        <v>293</v>
      </c>
      <c r="E32" s="3" t="s">
        <v>119</v>
      </c>
      <c r="F32" s="61">
        <v>3</v>
      </c>
      <c r="G32" s="19">
        <v>6.7</v>
      </c>
      <c r="H32" s="2">
        <f>Table510133233672[[#This Row],[Quantity]]*Table510133233672[[#This Row],[Unit Price]]</f>
        <v>20.100000000000001</v>
      </c>
      <c r="I32" s="78">
        <v>7.46E-2</v>
      </c>
      <c r="J32" s="3"/>
      <c r="K32" s="4">
        <v>0.13</v>
      </c>
      <c r="L32" s="2">
        <f>(Table510133233672[[#This Row],[Total]] * (1 - Table510133233672[[#This Row],[Discount (%)]]) + Table510133233672[[#This Row],[ΕΦΚ]]) * (1 + Table510133233672[[#This Row],[TAX (%)]])</f>
        <v>21.018610200000001</v>
      </c>
    </row>
    <row r="33" spans="1:13" x14ac:dyDescent="0.3">
      <c r="A33" s="12">
        <v>46113</v>
      </c>
      <c r="B33" s="51" t="s">
        <v>322</v>
      </c>
      <c r="C33" s="3" t="s">
        <v>89</v>
      </c>
      <c r="D33" s="3" t="s">
        <v>299</v>
      </c>
      <c r="E33" s="3" t="s">
        <v>53</v>
      </c>
      <c r="F33" s="61">
        <v>1</v>
      </c>
      <c r="G33" s="19">
        <v>7.4</v>
      </c>
      <c r="H33" s="2">
        <f>Table510133233672[[#This Row],[Quantity]]*Table510133233672[[#This Row],[Unit Price]]</f>
        <v>7.4</v>
      </c>
      <c r="I33" s="78">
        <v>0.37840000000000001</v>
      </c>
      <c r="J33" s="3"/>
      <c r="K33" s="4">
        <v>0.13</v>
      </c>
      <c r="L33" s="2">
        <f>(Table510133233672[[#This Row],[Total]] * (1 - Table510133233672[[#This Row],[Discount (%)]]) + Table510133233672[[#This Row],[ΕΦΚ]]) * (1 + Table510133233672[[#This Row],[TAX (%)]])</f>
        <v>5.1978191999999988</v>
      </c>
    </row>
    <row r="34" spans="1:13" x14ac:dyDescent="0.3">
      <c r="A34" s="12">
        <v>46113</v>
      </c>
      <c r="B34" s="51" t="s">
        <v>322</v>
      </c>
      <c r="C34" s="3" t="s">
        <v>89</v>
      </c>
      <c r="D34" s="3" t="s">
        <v>294</v>
      </c>
      <c r="E34" s="3" t="s">
        <v>295</v>
      </c>
      <c r="F34" s="61">
        <v>2</v>
      </c>
      <c r="G34" s="19">
        <v>3.22</v>
      </c>
      <c r="H34" s="2">
        <f>Table510133233672[[#This Row],[Quantity]]*Table510133233672[[#This Row],[Unit Price]]</f>
        <v>6.44</v>
      </c>
      <c r="I34" s="78"/>
      <c r="J34" s="3"/>
      <c r="K34" s="4">
        <v>0.13</v>
      </c>
      <c r="L34" s="2">
        <f>(Table510133233672[[#This Row],[Total]] * (1 - Table510133233672[[#This Row],[Discount (%)]]) + Table510133233672[[#This Row],[ΕΦΚ]]) * (1 + Table510133233672[[#This Row],[TAX (%)]])</f>
        <v>7.2771999999999997</v>
      </c>
      <c r="M34" s="16" t="s">
        <v>310</v>
      </c>
    </row>
    <row r="35" spans="1:13" x14ac:dyDescent="0.3">
      <c r="A35" s="12">
        <v>46111</v>
      </c>
      <c r="B35" s="51" t="s">
        <v>309</v>
      </c>
      <c r="C35" s="3" t="s">
        <v>89</v>
      </c>
      <c r="D35" s="3" t="s">
        <v>304</v>
      </c>
      <c r="E35" s="3" t="s">
        <v>49</v>
      </c>
      <c r="F35" s="61">
        <v>1</v>
      </c>
      <c r="G35" s="19">
        <v>3.65</v>
      </c>
      <c r="H35" s="2">
        <f>Table510133233672[[#This Row],[Quantity]]*Table510133233672[[#This Row],[Unit Price]]</f>
        <v>3.65</v>
      </c>
      <c r="I35" s="78">
        <v>4.1099999999999998E-2</v>
      </c>
      <c r="J35" s="3"/>
      <c r="K35" s="4">
        <v>0.13</v>
      </c>
      <c r="L35" s="2">
        <f>(Table510133233672[[#This Row],[Total]] * (1 - Table510133233672[[#This Row],[Discount (%)]]) + Table510133233672[[#This Row],[ΕΦΚ]]) * (1 + Table510133233672[[#This Row],[TAX (%)]])</f>
        <v>3.9549830499999992</v>
      </c>
    </row>
    <row r="36" spans="1:13" x14ac:dyDescent="0.3">
      <c r="A36" s="12">
        <v>46111</v>
      </c>
      <c r="B36" s="51" t="s">
        <v>309</v>
      </c>
      <c r="C36" s="3" t="s">
        <v>89</v>
      </c>
      <c r="D36" s="3" t="s">
        <v>306</v>
      </c>
      <c r="E36" s="3" t="s">
        <v>42</v>
      </c>
      <c r="F36" s="61">
        <v>1</v>
      </c>
      <c r="G36" s="19">
        <v>5.9</v>
      </c>
      <c r="H36" s="2">
        <f>Table510133233672[[#This Row],[Quantity]]*Table510133233672[[#This Row],[Unit Price]]</f>
        <v>5.9</v>
      </c>
      <c r="I36" s="78">
        <v>3.39E-2</v>
      </c>
      <c r="J36" s="3"/>
      <c r="K36" s="4">
        <v>0.13</v>
      </c>
      <c r="L36" s="2">
        <f>(Table510133233672[[#This Row],[Total]] * (1 - Table510133233672[[#This Row],[Discount (%)]]) + Table510133233672[[#This Row],[ΕΦΚ]]) * (1 + Table510133233672[[#This Row],[TAX (%)]])</f>
        <v>6.4409886999999992</v>
      </c>
    </row>
    <row r="37" spans="1:13" x14ac:dyDescent="0.3">
      <c r="A37" s="12">
        <v>46111</v>
      </c>
      <c r="B37" s="51" t="s">
        <v>309</v>
      </c>
      <c r="C37" s="3" t="s">
        <v>89</v>
      </c>
      <c r="D37" s="3" t="s">
        <v>307</v>
      </c>
      <c r="E37" s="3" t="s">
        <v>295</v>
      </c>
      <c r="F37" s="61">
        <v>4</v>
      </c>
      <c r="G37" s="19">
        <v>3.71</v>
      </c>
      <c r="H37" s="2">
        <f>Table510133233672[[#This Row],[Quantity]]*Table510133233672[[#This Row],[Unit Price]]</f>
        <v>14.84</v>
      </c>
      <c r="I37" s="78"/>
      <c r="J37" s="3"/>
      <c r="K37" s="4">
        <v>0.13</v>
      </c>
      <c r="L37" s="2">
        <f>(Table510133233672[[#This Row],[Total]] * (1 - Table510133233672[[#This Row],[Discount (%)]]) + Table510133233672[[#This Row],[ΕΦΚ]]) * (1 + Table510133233672[[#This Row],[TAX (%)]])</f>
        <v>16.769199999999998</v>
      </c>
      <c r="M37" s="16" t="s">
        <v>310</v>
      </c>
    </row>
    <row r="38" spans="1:13" x14ac:dyDescent="0.3">
      <c r="A38" s="12">
        <v>46111</v>
      </c>
      <c r="B38" s="51" t="s">
        <v>309</v>
      </c>
      <c r="C38" s="3" t="s">
        <v>89</v>
      </c>
      <c r="D38" s="3" t="s">
        <v>303</v>
      </c>
      <c r="E38" s="3" t="s">
        <v>53</v>
      </c>
      <c r="F38" s="61">
        <v>1</v>
      </c>
      <c r="G38" s="19">
        <v>12.45</v>
      </c>
      <c r="H38" s="2">
        <f>Table510133233672[[#This Row],[Quantity]]*Table510133233672[[#This Row],[Unit Price]]</f>
        <v>12.45</v>
      </c>
      <c r="I38" s="78"/>
      <c r="J38" s="3"/>
      <c r="K38" s="4">
        <v>0.13</v>
      </c>
      <c r="L38" s="2">
        <f>(Table510133233672[[#This Row],[Total]] * (1 - Table510133233672[[#This Row],[Discount (%)]]) + Table510133233672[[#This Row],[ΕΦΚ]]) * (1 + Table510133233672[[#This Row],[TAX (%)]])</f>
        <v>14.068499999999998</v>
      </c>
    </row>
    <row r="39" spans="1:13" x14ac:dyDescent="0.3">
      <c r="A39" s="12">
        <v>46107</v>
      </c>
      <c r="B39" s="51" t="s">
        <v>341</v>
      </c>
      <c r="C39" s="3" t="s">
        <v>89</v>
      </c>
      <c r="D39" s="3" t="s">
        <v>293</v>
      </c>
      <c r="E39" s="3" t="s">
        <v>119</v>
      </c>
      <c r="F39" s="61">
        <v>3</v>
      </c>
      <c r="G39" s="19">
        <v>6.7</v>
      </c>
      <c r="H39" s="2">
        <f>Table510133233672[[#This Row],[Quantity]]*Table510133233672[[#This Row],[Unit Price]]</f>
        <v>20.100000000000001</v>
      </c>
      <c r="I39" s="78">
        <v>7.46E-2</v>
      </c>
      <c r="J39" s="3"/>
      <c r="K39" s="4">
        <v>0.13</v>
      </c>
      <c r="L39" s="2">
        <f>(Table510133233672[[#This Row],[Total]] * (1 - Table510133233672[[#This Row],[Discount (%)]]) + Table510133233672[[#This Row],[ΕΦΚ]]) * (1 + Table510133233672[[#This Row],[TAX (%)]])</f>
        <v>21.018610200000001</v>
      </c>
    </row>
    <row r="40" spans="1:13" x14ac:dyDescent="0.3">
      <c r="A40" s="12">
        <v>46107</v>
      </c>
      <c r="B40" s="51" t="s">
        <v>341</v>
      </c>
      <c r="C40" s="3" t="s">
        <v>89</v>
      </c>
      <c r="D40" s="3" t="s">
        <v>297</v>
      </c>
      <c r="E40" s="3" t="s">
        <v>53</v>
      </c>
      <c r="F40" s="61">
        <v>0.7</v>
      </c>
      <c r="G40" s="19">
        <v>9.4</v>
      </c>
      <c r="H40" s="2">
        <f>Table510133233672[[#This Row],[Quantity]]*Table510133233672[[#This Row],[Unit Price]]</f>
        <v>6.58</v>
      </c>
      <c r="I40" s="78">
        <v>0.25</v>
      </c>
      <c r="J40" s="3"/>
      <c r="K40" s="4">
        <v>0.13</v>
      </c>
      <c r="L40" s="2">
        <f>(Table510133233672[[#This Row],[Total]] * (1 - Table510133233672[[#This Row],[Discount (%)]]) + Table510133233672[[#This Row],[ΕΦΚ]]) * (1 + Table510133233672[[#This Row],[TAX (%)]])</f>
        <v>5.5765500000000001</v>
      </c>
    </row>
    <row r="41" spans="1:13" x14ac:dyDescent="0.3">
      <c r="A41" s="12">
        <v>46107</v>
      </c>
      <c r="B41" s="51" t="s">
        <v>341</v>
      </c>
      <c r="C41" s="3" t="s">
        <v>89</v>
      </c>
      <c r="D41" s="3" t="s">
        <v>307</v>
      </c>
      <c r="E41" s="3" t="s">
        <v>295</v>
      </c>
      <c r="F41" s="61">
        <v>3</v>
      </c>
      <c r="G41" s="19">
        <v>3.71</v>
      </c>
      <c r="H41" s="2">
        <f>Table510133233672[[#This Row],[Quantity]]*Table510133233672[[#This Row],[Unit Price]]</f>
        <v>11.129999999999999</v>
      </c>
      <c r="I41" s="78"/>
      <c r="J41" s="3"/>
      <c r="K41" s="4">
        <v>0.13</v>
      </c>
      <c r="L41" s="2">
        <f>(Table510133233672[[#This Row],[Total]] * (1 - Table510133233672[[#This Row],[Discount (%)]]) + Table510133233672[[#This Row],[ΕΦΚ]]) * (1 + Table510133233672[[#This Row],[TAX (%)]])</f>
        <v>12.576899999999998</v>
      </c>
      <c r="M41" s="16" t="s">
        <v>310</v>
      </c>
    </row>
    <row r="42" spans="1:13" x14ac:dyDescent="0.3">
      <c r="A42" s="12">
        <v>46107</v>
      </c>
      <c r="B42" s="51" t="s">
        <v>341</v>
      </c>
      <c r="C42" s="3" t="s">
        <v>89</v>
      </c>
      <c r="D42" s="3" t="s">
        <v>299</v>
      </c>
      <c r="E42" s="3" t="s">
        <v>53</v>
      </c>
      <c r="F42" s="61">
        <v>1</v>
      </c>
      <c r="G42" s="19">
        <v>7.4</v>
      </c>
      <c r="H42" s="2">
        <f>Table510133233672[[#This Row],[Quantity]]*Table510133233672[[#This Row],[Unit Price]]</f>
        <v>7.4</v>
      </c>
      <c r="I42" s="78">
        <v>0.37840000000000001</v>
      </c>
      <c r="J42" s="3"/>
      <c r="K42" s="4">
        <v>0.13</v>
      </c>
      <c r="L42" s="2">
        <f>(Table510133233672[[#This Row],[Total]] * (1 - Table510133233672[[#This Row],[Discount (%)]]) + Table510133233672[[#This Row],[ΕΦΚ]]) * (1 + Table510133233672[[#This Row],[TAX (%)]])</f>
        <v>5.1978191999999988</v>
      </c>
    </row>
    <row r="43" spans="1:13" x14ac:dyDescent="0.3">
      <c r="A43" s="12">
        <v>46107</v>
      </c>
      <c r="B43" s="51" t="s">
        <v>341</v>
      </c>
      <c r="C43" s="3" t="s">
        <v>89</v>
      </c>
      <c r="D43" s="3" t="s">
        <v>298</v>
      </c>
      <c r="E43" s="3" t="s">
        <v>53</v>
      </c>
      <c r="F43" s="61">
        <v>0.7</v>
      </c>
      <c r="G43" s="19">
        <v>5.47</v>
      </c>
      <c r="H43" s="2">
        <f>Table510133233672[[#This Row],[Quantity]]*Table510133233672[[#This Row],[Unit Price]]</f>
        <v>3.8289999999999997</v>
      </c>
      <c r="I43" s="78">
        <v>0.14990000000000001</v>
      </c>
      <c r="J43" s="3"/>
      <c r="K43" s="4">
        <v>0.13</v>
      </c>
      <c r="L43" s="2">
        <f>(Table510133233672[[#This Row],[Total]] * (1 - Table510133233672[[#This Row],[Discount (%)]]) + Table510133233672[[#This Row],[ΕΦΚ]]) * (1 + Table510133233672[[#This Row],[TAX (%)]])</f>
        <v>3.6781871769999994</v>
      </c>
    </row>
    <row r="44" spans="1:13" x14ac:dyDescent="0.3">
      <c r="A44" s="12">
        <v>46098</v>
      </c>
      <c r="B44" s="51" t="s">
        <v>325</v>
      </c>
      <c r="C44" s="3" t="s">
        <v>89</v>
      </c>
      <c r="D44" s="3" t="s">
        <v>318</v>
      </c>
      <c r="E44" s="3" t="s">
        <v>42</v>
      </c>
      <c r="F44" s="61">
        <v>2</v>
      </c>
      <c r="G44" s="19">
        <v>5</v>
      </c>
      <c r="H44" s="2">
        <f>Table510133233672[[#This Row],[Quantity]]*Table510133233672[[#This Row],[Unit Price]]</f>
        <v>10</v>
      </c>
      <c r="I44" s="78">
        <v>0.05</v>
      </c>
      <c r="J44" s="3"/>
      <c r="K44" s="4">
        <v>0.13</v>
      </c>
      <c r="L44" s="2">
        <f>(Table510133233672[[#This Row],[Total]] * (1 - Table510133233672[[#This Row],[Discount (%)]]) + Table510133233672[[#This Row],[ΕΦΚ]]) * (1 + Table510133233672[[#This Row],[TAX (%)]])</f>
        <v>10.734999999999999</v>
      </c>
    </row>
    <row r="45" spans="1:13" x14ac:dyDescent="0.3">
      <c r="A45" s="12">
        <v>46098</v>
      </c>
      <c r="B45" s="51" t="s">
        <v>325</v>
      </c>
      <c r="C45" s="3" t="s">
        <v>89</v>
      </c>
      <c r="D45" s="3" t="s">
        <v>326</v>
      </c>
      <c r="E45" s="3" t="s">
        <v>42</v>
      </c>
      <c r="F45" s="61">
        <v>3</v>
      </c>
      <c r="G45" s="19">
        <v>1.47</v>
      </c>
      <c r="H45" s="2">
        <f>Table510133233672[[#This Row],[Quantity]]*Table510133233672[[#This Row],[Unit Price]]</f>
        <v>4.41</v>
      </c>
      <c r="I45" s="78">
        <v>2.7199999999999998E-2</v>
      </c>
      <c r="J45" s="3"/>
      <c r="K45" s="4">
        <v>0.13</v>
      </c>
      <c r="L45" s="2">
        <f>(Table510133233672[[#This Row],[Total]] * (1 - Table510133233672[[#This Row],[Discount (%)]]) + Table510133233672[[#This Row],[ΕΦΚ]]) * (1 + Table510133233672[[#This Row],[TAX (%)]])</f>
        <v>4.8477542400000004</v>
      </c>
    </row>
    <row r="46" spans="1:13" x14ac:dyDescent="0.3">
      <c r="A46" s="12">
        <v>46098</v>
      </c>
      <c r="B46" s="51" t="s">
        <v>325</v>
      </c>
      <c r="C46" s="3" t="s">
        <v>89</v>
      </c>
      <c r="D46" s="3" t="s">
        <v>319</v>
      </c>
      <c r="E46" s="3" t="s">
        <v>42</v>
      </c>
      <c r="F46" s="61">
        <v>2</v>
      </c>
      <c r="G46" s="19">
        <v>4.91</v>
      </c>
      <c r="H46" s="2">
        <f>Table510133233672[[#This Row],[Quantity]]*Table510133233672[[#This Row],[Unit Price]]</f>
        <v>9.82</v>
      </c>
      <c r="I46" s="78">
        <v>0.05</v>
      </c>
      <c r="J46" s="3"/>
      <c r="K46" s="4">
        <v>0.13</v>
      </c>
      <c r="L46" s="2">
        <f>(Table510133233672[[#This Row],[Total]] * (1 - Table510133233672[[#This Row],[Discount (%)]]) + Table510133233672[[#This Row],[ΕΦΚ]]) * (1 + Table510133233672[[#This Row],[TAX (%)]])</f>
        <v>10.54177</v>
      </c>
    </row>
    <row r="47" spans="1:13" x14ac:dyDescent="0.3">
      <c r="A47" s="12">
        <v>46098</v>
      </c>
      <c r="B47" s="51" t="s">
        <v>325</v>
      </c>
      <c r="C47" s="3" t="s">
        <v>89</v>
      </c>
      <c r="D47" s="3" t="s">
        <v>327</v>
      </c>
      <c r="E47" s="3" t="s">
        <v>119</v>
      </c>
      <c r="F47" s="61">
        <v>3</v>
      </c>
      <c r="G47" s="19">
        <v>2.0299999999999998</v>
      </c>
      <c r="H47" s="2">
        <f>Table510133233672[[#This Row],[Quantity]]*Table510133233672[[#This Row],[Unit Price]]</f>
        <v>6.09</v>
      </c>
      <c r="I47" s="78"/>
      <c r="J47" s="3"/>
      <c r="K47" s="4">
        <v>0.13</v>
      </c>
      <c r="L47" s="2">
        <f>(Table510133233672[[#This Row],[Total]] * (1 - Table510133233672[[#This Row],[Discount (%)]]) + Table510133233672[[#This Row],[ΕΦΚ]]) * (1 + Table510133233672[[#This Row],[TAX (%)]])</f>
        <v>6.8816999999999995</v>
      </c>
    </row>
    <row r="48" spans="1:13" x14ac:dyDescent="0.3">
      <c r="A48" s="12">
        <v>46098</v>
      </c>
      <c r="B48" s="51" t="s">
        <v>325</v>
      </c>
      <c r="C48" s="3" t="s">
        <v>89</v>
      </c>
      <c r="D48" s="3" t="s">
        <v>328</v>
      </c>
      <c r="E48" s="3" t="s">
        <v>42</v>
      </c>
      <c r="F48" s="61">
        <v>3</v>
      </c>
      <c r="G48" s="19">
        <v>2.6</v>
      </c>
      <c r="H48" s="2">
        <f>Table510133233672[[#This Row],[Quantity]]*Table510133233672[[#This Row],[Unit Price]]</f>
        <v>7.8000000000000007</v>
      </c>
      <c r="I48" s="78">
        <v>5.7700000000000001E-2</v>
      </c>
      <c r="J48" s="3"/>
      <c r="K48" s="4">
        <v>0.13</v>
      </c>
      <c r="L48" s="2">
        <f>(Table510133233672[[#This Row],[Total]] * (1 - Table510133233672[[#This Row],[Discount (%)]]) + Table510133233672[[#This Row],[ΕΦΚ]]) * (1 + Table510133233672[[#This Row],[TAX (%)]])</f>
        <v>8.3054322000000003</v>
      </c>
    </row>
    <row r="49" spans="1:13" x14ac:dyDescent="0.3">
      <c r="A49" s="12">
        <v>46098</v>
      </c>
      <c r="B49" s="51" t="s">
        <v>325</v>
      </c>
      <c r="C49" s="3" t="s">
        <v>89</v>
      </c>
      <c r="D49" s="3" t="s">
        <v>329</v>
      </c>
      <c r="E49" s="3" t="s">
        <v>42</v>
      </c>
      <c r="F49" s="61">
        <v>1</v>
      </c>
      <c r="G49" s="19">
        <v>3.3</v>
      </c>
      <c r="H49" s="2">
        <f>Table510133233672[[#This Row],[Quantity]]*Table510133233672[[#This Row],[Unit Price]]</f>
        <v>3.3</v>
      </c>
      <c r="I49" s="78">
        <v>0.1061</v>
      </c>
      <c r="J49" s="3"/>
      <c r="K49" s="4">
        <v>0.13</v>
      </c>
      <c r="L49" s="2">
        <f>(Table510133233672[[#This Row],[Total]] * (1 - Table510133233672[[#This Row],[Discount (%)]]) + Table510133233672[[#This Row],[ΕΦΚ]]) * (1 + Table510133233672[[#This Row],[TAX (%)]])</f>
        <v>3.3333530999999996</v>
      </c>
    </row>
    <row r="50" spans="1:13" x14ac:dyDescent="0.3">
      <c r="A50" s="12">
        <v>46098</v>
      </c>
      <c r="B50" s="51" t="s">
        <v>325</v>
      </c>
      <c r="C50" s="3" t="s">
        <v>89</v>
      </c>
      <c r="D50" s="3" t="s">
        <v>330</v>
      </c>
      <c r="E50" s="3" t="s">
        <v>53</v>
      </c>
      <c r="F50" s="61">
        <v>1.1499999999999999</v>
      </c>
      <c r="G50" s="19">
        <v>24.9</v>
      </c>
      <c r="H50" s="2">
        <f>Table510133233672[[#This Row],[Quantity]]*Table510133233672[[#This Row],[Unit Price]]</f>
        <v>28.634999999999994</v>
      </c>
      <c r="I50" s="78">
        <v>0.21690000000000001</v>
      </c>
      <c r="J50" s="3"/>
      <c r="K50" s="4">
        <v>0.13</v>
      </c>
      <c r="L50" s="2">
        <f>(Table510133233672[[#This Row],[Total]] * (1 - Table510133233672[[#This Row],[Discount (%)]]) + Table510133233672[[#This Row],[ΕΦΚ]]) * (1 + Table510133233672[[#This Row],[TAX (%)]])</f>
        <v>25.339197404999993</v>
      </c>
    </row>
    <row r="51" spans="1:13" x14ac:dyDescent="0.3">
      <c r="A51" s="12">
        <v>46097</v>
      </c>
      <c r="B51" s="51" t="s">
        <v>323</v>
      </c>
      <c r="C51" s="3" t="s">
        <v>89</v>
      </c>
      <c r="D51" s="3" t="s">
        <v>293</v>
      </c>
      <c r="E51" s="3" t="s">
        <v>119</v>
      </c>
      <c r="F51" s="61">
        <v>5</v>
      </c>
      <c r="G51" s="19">
        <v>6.7</v>
      </c>
      <c r="H51" s="2">
        <f>Table510133233672[[#This Row],[Quantity]]*Table510133233672[[#This Row],[Unit Price]]</f>
        <v>33.5</v>
      </c>
      <c r="I51" s="78">
        <v>7.46E-2</v>
      </c>
      <c r="J51" s="3"/>
      <c r="K51" s="4">
        <v>0.13</v>
      </c>
      <c r="L51" s="2">
        <f>(Table510133233672[[#This Row],[Total]] * (1 - Table510133233672[[#This Row],[Discount (%)]]) + Table510133233672[[#This Row],[ΕΦΚ]]) * (1 + Table510133233672[[#This Row],[TAX (%)]])</f>
        <v>35.031016999999999</v>
      </c>
    </row>
    <row r="52" spans="1:13" x14ac:dyDescent="0.3">
      <c r="A52" s="12">
        <v>46097</v>
      </c>
      <c r="B52" s="51" t="s">
        <v>323</v>
      </c>
      <c r="C52" s="3" t="s">
        <v>101</v>
      </c>
      <c r="D52" s="3" t="s">
        <v>335</v>
      </c>
      <c r="E52" s="3" t="s">
        <v>53</v>
      </c>
      <c r="F52" s="61">
        <v>4</v>
      </c>
      <c r="G52" s="19">
        <v>10.7</v>
      </c>
      <c r="H52" s="2">
        <f>Table510133233672[[#This Row],[Quantity]]*Table510133233672[[#This Row],[Unit Price]]</f>
        <v>42.8</v>
      </c>
      <c r="I52" s="78">
        <v>8.6499999999999994E-2</v>
      </c>
      <c r="J52" s="3"/>
      <c r="K52" s="4">
        <v>0.13</v>
      </c>
      <c r="L52" s="2">
        <f>(Table510133233672[[#This Row],[Total]] * (1 - Table510133233672[[#This Row],[Discount (%)]]) + Table510133233672[[#This Row],[ΕΦΚ]]) * (1 + Table510133233672[[#This Row],[TAX (%)]])</f>
        <v>44.180513999999995</v>
      </c>
      <c r="M52" s="80"/>
    </row>
    <row r="53" spans="1:13" x14ac:dyDescent="0.3">
      <c r="A53" s="12">
        <v>46097</v>
      </c>
      <c r="B53" s="51" t="s">
        <v>323</v>
      </c>
      <c r="C53" s="3" t="s">
        <v>89</v>
      </c>
      <c r="D53" s="3" t="s">
        <v>324</v>
      </c>
      <c r="E53" s="3" t="s">
        <v>53</v>
      </c>
      <c r="F53" s="61">
        <v>1</v>
      </c>
      <c r="G53" s="19">
        <v>7.5</v>
      </c>
      <c r="H53" s="2">
        <f>Table510133233672[[#This Row],[Quantity]]*Table510133233672[[#This Row],[Unit Price]]</f>
        <v>7.5</v>
      </c>
      <c r="I53" s="78"/>
      <c r="J53" s="3"/>
      <c r="K53" s="4">
        <v>0.13</v>
      </c>
      <c r="L53" s="2">
        <f>(Table510133233672[[#This Row],[Total]] * (1 - Table510133233672[[#This Row],[Discount (%)]]) + Table510133233672[[#This Row],[ΕΦΚ]]) * (1 + Table510133233672[[#This Row],[TAX (%)]])</f>
        <v>8.4749999999999996</v>
      </c>
    </row>
    <row r="54" spans="1:13" x14ac:dyDescent="0.3">
      <c r="A54" s="12">
        <v>46095</v>
      </c>
      <c r="B54" s="51" t="s">
        <v>313</v>
      </c>
      <c r="C54" s="3" t="s">
        <v>89</v>
      </c>
      <c r="D54" s="3" t="s">
        <v>303</v>
      </c>
      <c r="E54" s="3" t="s">
        <v>53</v>
      </c>
      <c r="F54" s="61">
        <v>1</v>
      </c>
      <c r="G54" s="19">
        <v>12.45</v>
      </c>
      <c r="H54" s="2">
        <f>Table510133233672[[#This Row],[Quantity]]*Table510133233672[[#This Row],[Unit Price]]</f>
        <v>12.45</v>
      </c>
      <c r="I54" s="78"/>
      <c r="J54" s="3"/>
      <c r="K54" s="4">
        <v>0.13</v>
      </c>
      <c r="L54" s="2">
        <f>(Table510133233672[[#This Row],[Total]] * (1 - Table510133233672[[#This Row],[Discount (%)]]) + Table510133233672[[#This Row],[ΕΦΚ]]) * (1 + Table510133233672[[#This Row],[TAX (%)]])</f>
        <v>14.068499999999998</v>
      </c>
    </row>
    <row r="55" spans="1:13" x14ac:dyDescent="0.3">
      <c r="A55" s="12">
        <v>46095</v>
      </c>
      <c r="B55" s="51" t="s">
        <v>313</v>
      </c>
      <c r="C55" s="3" t="s">
        <v>89</v>
      </c>
      <c r="D55" s="3" t="s">
        <v>307</v>
      </c>
      <c r="E55" s="3" t="s">
        <v>295</v>
      </c>
      <c r="F55" s="61">
        <v>2</v>
      </c>
      <c r="G55" s="19">
        <v>3.71</v>
      </c>
      <c r="H55" s="2">
        <f>Table510133233672[[#This Row],[Quantity]]*Table510133233672[[#This Row],[Unit Price]]</f>
        <v>7.42</v>
      </c>
      <c r="I55" s="78"/>
      <c r="J55" s="3"/>
      <c r="K55" s="4">
        <v>0.13</v>
      </c>
      <c r="L55" s="2">
        <f>(Table510133233672[[#This Row],[Total]] * (1 - Table510133233672[[#This Row],[Discount (%)]]) + Table510133233672[[#This Row],[ΕΦΚ]]) * (1 + Table510133233672[[#This Row],[TAX (%)]])</f>
        <v>8.3845999999999989</v>
      </c>
      <c r="M55" s="16" t="s">
        <v>310</v>
      </c>
    </row>
    <row r="56" spans="1:13" x14ac:dyDescent="0.3">
      <c r="A56" s="12">
        <v>46093</v>
      </c>
      <c r="B56" s="51" t="s">
        <v>314</v>
      </c>
      <c r="C56" s="3" t="s">
        <v>89</v>
      </c>
      <c r="D56" s="3" t="s">
        <v>315</v>
      </c>
      <c r="E56" s="3" t="s">
        <v>53</v>
      </c>
      <c r="F56" s="61">
        <v>0.74</v>
      </c>
      <c r="G56" s="19">
        <v>8.7799999999999994</v>
      </c>
      <c r="H56" s="2">
        <f>Table510133233672[[#This Row],[Quantity]]*Table510133233672[[#This Row],[Unit Price]]</f>
        <v>6.4971999999999994</v>
      </c>
      <c r="I56" s="78">
        <v>0.20269999999999999</v>
      </c>
      <c r="J56" s="3"/>
      <c r="K56" s="4">
        <v>0.13</v>
      </c>
      <c r="L56" s="2">
        <f>(Table510133233672[[#This Row],[Total]] * (1 - Table510133233672[[#This Row],[Discount (%)]]) + Table510133233672[[#This Row],[ΕΦΚ]]) * (1 + Table510133233672[[#This Row],[TAX (%)]])</f>
        <v>5.8536458427999998</v>
      </c>
    </row>
    <row r="57" spans="1:13" x14ac:dyDescent="0.3">
      <c r="A57" s="12">
        <v>46093</v>
      </c>
      <c r="B57" s="51" t="s">
        <v>314</v>
      </c>
      <c r="C57" s="3" t="s">
        <v>89</v>
      </c>
      <c r="D57" s="3" t="s">
        <v>316</v>
      </c>
      <c r="E57" s="3" t="s">
        <v>42</v>
      </c>
      <c r="F57" s="61">
        <v>2</v>
      </c>
      <c r="G57" s="19">
        <v>12.2</v>
      </c>
      <c r="H57" s="2">
        <f>Table510133233672[[#This Row],[Quantity]]*Table510133233672[[#This Row],[Unit Price]]</f>
        <v>24.4</v>
      </c>
      <c r="I57" s="78">
        <v>0.2213</v>
      </c>
      <c r="J57" s="3"/>
      <c r="K57" s="4">
        <v>0.13</v>
      </c>
      <c r="L57" s="2">
        <f>(Table510133233672[[#This Row],[Total]] * (1 - Table510133233672[[#This Row],[Discount (%)]]) + Table510133233672[[#This Row],[ΕΦΚ]]) * (1 + Table510133233672[[#This Row],[TAX (%)]])</f>
        <v>21.470316399999994</v>
      </c>
    </row>
    <row r="58" spans="1:13" x14ac:dyDescent="0.3">
      <c r="A58" s="12">
        <v>46093</v>
      </c>
      <c r="B58" s="51" t="s">
        <v>314</v>
      </c>
      <c r="C58" s="3" t="s">
        <v>89</v>
      </c>
      <c r="D58" s="3" t="s">
        <v>317</v>
      </c>
      <c r="E58" s="3" t="s">
        <v>53</v>
      </c>
      <c r="F58" s="61">
        <v>0.41</v>
      </c>
      <c r="G58" s="19">
        <v>13.68</v>
      </c>
      <c r="H58" s="2">
        <f>Table510133233672[[#This Row],[Quantity]]*Table510133233672[[#This Row],[Unit Price]]</f>
        <v>5.6087999999999996</v>
      </c>
      <c r="I58" s="78">
        <v>0.152</v>
      </c>
      <c r="J58" s="3"/>
      <c r="K58" s="4">
        <v>0.13</v>
      </c>
      <c r="L58" s="2">
        <f>(Table510133233672[[#This Row],[Total]] * (1 - Table510133233672[[#This Row],[Discount (%)]]) + Table510133233672[[#This Row],[ΕΦΚ]]) * (1 + Table510133233672[[#This Row],[TAX (%)]])</f>
        <v>5.3745765119999991</v>
      </c>
    </row>
    <row r="59" spans="1:13" x14ac:dyDescent="0.3">
      <c r="A59" s="12">
        <v>46093</v>
      </c>
      <c r="B59" s="51" t="s">
        <v>314</v>
      </c>
      <c r="C59" s="3" t="s">
        <v>89</v>
      </c>
      <c r="D59" s="3" t="s">
        <v>318</v>
      </c>
      <c r="E59" s="3" t="s">
        <v>42</v>
      </c>
      <c r="F59" s="61">
        <v>1</v>
      </c>
      <c r="G59" s="19">
        <v>5</v>
      </c>
      <c r="H59" s="2">
        <f>Table510133233672[[#This Row],[Quantity]]*Table510133233672[[#This Row],[Unit Price]]</f>
        <v>5</v>
      </c>
      <c r="I59" s="78">
        <v>0.05</v>
      </c>
      <c r="J59" s="3"/>
      <c r="K59" s="4">
        <v>0.13</v>
      </c>
      <c r="L59" s="2">
        <f>(Table510133233672[[#This Row],[Total]] * (1 - Table510133233672[[#This Row],[Discount (%)]]) + Table510133233672[[#This Row],[ΕΦΚ]]) * (1 + Table510133233672[[#This Row],[TAX (%)]])</f>
        <v>5.3674999999999997</v>
      </c>
    </row>
    <row r="60" spans="1:13" x14ac:dyDescent="0.3">
      <c r="A60" s="12">
        <v>46093</v>
      </c>
      <c r="B60" s="51" t="s">
        <v>314</v>
      </c>
      <c r="C60" s="3" t="s">
        <v>89</v>
      </c>
      <c r="D60" s="3" t="s">
        <v>319</v>
      </c>
      <c r="E60" s="3" t="s">
        <v>42</v>
      </c>
      <c r="F60" s="61">
        <v>1</v>
      </c>
      <c r="G60" s="19">
        <v>4.91</v>
      </c>
      <c r="H60" s="2">
        <f>Table510133233672[[#This Row],[Quantity]]*Table510133233672[[#This Row],[Unit Price]]</f>
        <v>4.91</v>
      </c>
      <c r="I60" s="78">
        <v>0.05</v>
      </c>
      <c r="J60" s="3"/>
      <c r="K60" s="4">
        <v>0.13</v>
      </c>
      <c r="L60" s="2">
        <f>(Table510133233672[[#This Row],[Total]] * (1 - Table510133233672[[#This Row],[Discount (%)]]) + Table510133233672[[#This Row],[ΕΦΚ]]) * (1 + Table510133233672[[#This Row],[TAX (%)]])</f>
        <v>5.2708849999999998</v>
      </c>
    </row>
    <row r="61" spans="1:13" x14ac:dyDescent="0.3">
      <c r="A61" s="12">
        <v>46093</v>
      </c>
      <c r="B61" s="51" t="s">
        <v>314</v>
      </c>
      <c r="C61" s="3" t="s">
        <v>89</v>
      </c>
      <c r="D61" s="3" t="s">
        <v>297</v>
      </c>
      <c r="E61" s="3" t="s">
        <v>53</v>
      </c>
      <c r="F61" s="61">
        <v>0.69</v>
      </c>
      <c r="G61" s="19">
        <v>9.4</v>
      </c>
      <c r="H61" s="2">
        <f>Table510133233672[[#This Row],[Quantity]]*Table510133233672[[#This Row],[Unit Price]]</f>
        <v>6.4859999999999998</v>
      </c>
      <c r="I61" s="78">
        <v>0.25</v>
      </c>
      <c r="J61" s="3"/>
      <c r="K61" s="4">
        <v>0.13</v>
      </c>
      <c r="L61" s="2">
        <f>(Table510133233672[[#This Row],[Total]] * (1 - Table510133233672[[#This Row],[Discount (%)]]) + Table510133233672[[#This Row],[ΕΦΚ]]) * (1 + Table510133233672[[#This Row],[TAX (%)]])</f>
        <v>5.4968849999999989</v>
      </c>
    </row>
    <row r="62" spans="1:13" x14ac:dyDescent="0.3">
      <c r="A62" s="12">
        <v>46093</v>
      </c>
      <c r="B62" s="51" t="s">
        <v>314</v>
      </c>
      <c r="C62" s="3" t="s">
        <v>89</v>
      </c>
      <c r="D62" s="3" t="s">
        <v>299</v>
      </c>
      <c r="E62" s="3" t="s">
        <v>53</v>
      </c>
      <c r="F62" s="61">
        <v>1</v>
      </c>
      <c r="G62" s="19">
        <v>7.4</v>
      </c>
      <c r="H62" s="2">
        <f>Table510133233672[[#This Row],[Quantity]]*Table510133233672[[#This Row],[Unit Price]]</f>
        <v>7.4</v>
      </c>
      <c r="I62" s="78">
        <v>0.2432</v>
      </c>
      <c r="J62" s="3"/>
      <c r="K62" s="4">
        <v>0.13</v>
      </c>
      <c r="L62" s="2">
        <f>(Table510133233672[[#This Row],[Total]] * (1 - Table510133233672[[#This Row],[Discount (%)]]) + Table510133233672[[#This Row],[ΕΦΚ]]) * (1 + Table510133233672[[#This Row],[TAX (%)]])</f>
        <v>6.3283616</v>
      </c>
    </row>
    <row r="63" spans="1:13" x14ac:dyDescent="0.3">
      <c r="A63" s="12">
        <v>46093</v>
      </c>
      <c r="B63" s="51" t="s">
        <v>314</v>
      </c>
      <c r="C63" s="3" t="s">
        <v>89</v>
      </c>
      <c r="D63" s="3" t="s">
        <v>298</v>
      </c>
      <c r="E63" s="3" t="s">
        <v>53</v>
      </c>
      <c r="F63" s="61">
        <v>0.77</v>
      </c>
      <c r="G63" s="19">
        <v>5.47</v>
      </c>
      <c r="H63" s="2">
        <f>Table510133233672[[#This Row],[Quantity]]*Table510133233672[[#This Row],[Unit Price]]</f>
        <v>4.2119</v>
      </c>
      <c r="I63" s="78">
        <v>0.14990000000000001</v>
      </c>
      <c r="J63" s="3"/>
      <c r="K63" s="4">
        <v>0.13</v>
      </c>
      <c r="L63" s="2">
        <f>(Table510133233672[[#This Row],[Total]] * (1 - Table510133233672[[#This Row],[Discount (%)]]) + Table510133233672[[#This Row],[ΕΦΚ]]) * (1 + Table510133233672[[#This Row],[TAX (%)]])</f>
        <v>4.0460058946999995</v>
      </c>
    </row>
    <row r="64" spans="1:13" x14ac:dyDescent="0.3">
      <c r="A64" s="12">
        <v>46079</v>
      </c>
      <c r="B64" s="51" t="s">
        <v>331</v>
      </c>
      <c r="C64" s="3" t="s">
        <v>89</v>
      </c>
      <c r="D64" s="3" t="s">
        <v>293</v>
      </c>
      <c r="E64" s="3" t="s">
        <v>119</v>
      </c>
      <c r="F64" s="61">
        <v>3</v>
      </c>
      <c r="G64" s="19">
        <v>6.7</v>
      </c>
      <c r="H64" s="2">
        <f>Table510133233672[[#This Row],[Quantity]]*Table510133233672[[#This Row],[Unit Price]]</f>
        <v>20.100000000000001</v>
      </c>
      <c r="I64" s="78">
        <v>7.46E-2</v>
      </c>
      <c r="J64" s="3"/>
      <c r="K64" s="4">
        <v>0.13</v>
      </c>
      <c r="L64" s="2">
        <f>(Table510133233672[[#This Row],[Total]] * (1 - Table510133233672[[#This Row],[Discount (%)]]) + Table510133233672[[#This Row],[ΕΦΚ]]) * (1 + Table510133233672[[#This Row],[TAX (%)]])</f>
        <v>21.018610200000001</v>
      </c>
    </row>
    <row r="65" spans="1:13" x14ac:dyDescent="0.3">
      <c r="A65" s="12">
        <v>46079</v>
      </c>
      <c r="B65" s="51" t="s">
        <v>331</v>
      </c>
      <c r="C65" s="3" t="s">
        <v>89</v>
      </c>
      <c r="D65" s="3" t="s">
        <v>307</v>
      </c>
      <c r="E65" s="3" t="s">
        <v>295</v>
      </c>
      <c r="F65" s="61">
        <v>3</v>
      </c>
      <c r="G65" s="19">
        <v>3.71</v>
      </c>
      <c r="H65" s="2">
        <f>Table510133233672[[#This Row],[Quantity]]*Table510133233672[[#This Row],[Unit Price]]</f>
        <v>11.129999999999999</v>
      </c>
      <c r="I65" s="78"/>
      <c r="J65" s="3"/>
      <c r="K65" s="4">
        <v>0.13</v>
      </c>
      <c r="L65" s="2">
        <f>(Table510133233672[[#This Row],[Total]] * (1 - Table510133233672[[#This Row],[Discount (%)]]) + Table510133233672[[#This Row],[ΕΦΚ]]) * (1 + Table510133233672[[#This Row],[TAX (%)]])</f>
        <v>12.576899999999998</v>
      </c>
      <c r="M65" s="16" t="s">
        <v>310</v>
      </c>
    </row>
    <row r="66" spans="1:13" x14ac:dyDescent="0.3">
      <c r="A66" s="12">
        <v>46079</v>
      </c>
      <c r="B66" s="51" t="s">
        <v>331</v>
      </c>
      <c r="C66" s="3" t="s">
        <v>89</v>
      </c>
      <c r="D66" s="3" t="s">
        <v>308</v>
      </c>
      <c r="E66" s="3" t="s">
        <v>53</v>
      </c>
      <c r="F66" s="61">
        <v>1.9</v>
      </c>
      <c r="G66" s="19">
        <v>7.77</v>
      </c>
      <c r="H66" s="2">
        <f>Table510133233672[[#This Row],[Quantity]]*Table510133233672[[#This Row],[Unit Price]]</f>
        <v>14.762999999999998</v>
      </c>
      <c r="I66" s="78">
        <v>0.2535</v>
      </c>
      <c r="J66" s="3"/>
      <c r="K66" s="4">
        <v>0.13</v>
      </c>
      <c r="L66" s="2">
        <f>(Table510133233672[[#This Row],[Total]] * (1 - Table510133233672[[#This Row],[Discount (%)]]) + Table510133233672[[#This Row],[ΕΦΚ]]) * (1 + Table510133233672[[#This Row],[TAX (%)]])</f>
        <v>12.453254834999997</v>
      </c>
    </row>
    <row r="67" spans="1:13" x14ac:dyDescent="0.3">
      <c r="A67" s="12">
        <v>46079</v>
      </c>
      <c r="B67" s="51" t="s">
        <v>331</v>
      </c>
      <c r="C67" s="3" t="s">
        <v>89</v>
      </c>
      <c r="D67" s="3" t="s">
        <v>305</v>
      </c>
      <c r="E67" s="3" t="s">
        <v>42</v>
      </c>
      <c r="F67" s="61">
        <v>1</v>
      </c>
      <c r="G67" s="19">
        <v>19.899999999999999</v>
      </c>
      <c r="H67" s="2">
        <f>Table510133233672[[#This Row],[Quantity]]*Table510133233672[[#This Row],[Unit Price]]</f>
        <v>19.899999999999999</v>
      </c>
      <c r="I67" s="78"/>
      <c r="J67" s="3"/>
      <c r="K67" s="4">
        <v>0.13</v>
      </c>
      <c r="L67" s="2">
        <f>(Table510133233672[[#This Row],[Total]] * (1 - Table510133233672[[#This Row],[Discount (%)]]) + Table510133233672[[#This Row],[ΕΦΚ]]) * (1 + Table510133233672[[#This Row],[TAX (%)]])</f>
        <v>22.486999999999995</v>
      </c>
    </row>
    <row r="68" spans="1:13" x14ac:dyDescent="0.3">
      <c r="A68" s="12">
        <v>46077</v>
      </c>
      <c r="B68" s="51" t="s">
        <v>320</v>
      </c>
      <c r="C68" s="3" t="s">
        <v>89</v>
      </c>
      <c r="D68" s="3" t="s">
        <v>307</v>
      </c>
      <c r="E68" s="3" t="s">
        <v>295</v>
      </c>
      <c r="F68" s="61">
        <v>3</v>
      </c>
      <c r="G68" s="19">
        <v>3.71</v>
      </c>
      <c r="H68" s="2">
        <f>Table510133233672[[#This Row],[Quantity]]*Table510133233672[[#This Row],[Unit Price]]</f>
        <v>11.129999999999999</v>
      </c>
      <c r="I68" s="78"/>
      <c r="J68" s="3"/>
      <c r="K68" s="4">
        <v>0.13</v>
      </c>
      <c r="L68" s="2">
        <f>(Table510133233672[[#This Row],[Total]] * (1 - Table510133233672[[#This Row],[Discount (%)]]) + Table510133233672[[#This Row],[ΕΦΚ]]) * (1 + Table510133233672[[#This Row],[TAX (%)]])</f>
        <v>12.576899999999998</v>
      </c>
      <c r="M68" s="16" t="s">
        <v>310</v>
      </c>
    </row>
    <row r="69" spans="1:13" x14ac:dyDescent="0.3">
      <c r="A69" s="12">
        <v>46077</v>
      </c>
      <c r="B69" s="51" t="s">
        <v>320</v>
      </c>
      <c r="C69" s="3" t="s">
        <v>89</v>
      </c>
      <c r="D69" s="3" t="s">
        <v>293</v>
      </c>
      <c r="E69" s="3" t="s">
        <v>119</v>
      </c>
      <c r="F69" s="61">
        <v>4</v>
      </c>
      <c r="G69" s="19">
        <v>6.7</v>
      </c>
      <c r="H69" s="2">
        <f>Table510133233672[[#This Row],[Quantity]]*Table510133233672[[#This Row],[Unit Price]]</f>
        <v>26.8</v>
      </c>
      <c r="I69" s="78">
        <v>7.46E-2</v>
      </c>
      <c r="J69" s="3"/>
      <c r="K69" s="4">
        <v>0.13</v>
      </c>
      <c r="L69" s="2">
        <f>(Table510133233672[[#This Row],[Total]] * (1 - Table510133233672[[#This Row],[Discount (%)]]) + Table510133233672[[#This Row],[ΕΦΚ]]) * (1 + Table510133233672[[#This Row],[TAX (%)]])</f>
        <v>28.024813599999998</v>
      </c>
    </row>
    <row r="70" spans="1:13" x14ac:dyDescent="0.3">
      <c r="A70" s="12">
        <v>46077</v>
      </c>
      <c r="B70" s="51" t="s">
        <v>320</v>
      </c>
      <c r="C70" s="3" t="s">
        <v>89</v>
      </c>
      <c r="D70" s="3" t="s">
        <v>303</v>
      </c>
      <c r="E70" s="3" t="s">
        <v>53</v>
      </c>
      <c r="F70" s="61">
        <v>1</v>
      </c>
      <c r="G70" s="19">
        <v>12.45</v>
      </c>
      <c r="H70" s="2">
        <f>Table510133233672[[#This Row],[Quantity]]*Table510133233672[[#This Row],[Unit Price]]</f>
        <v>12.45</v>
      </c>
      <c r="I70" s="78"/>
      <c r="J70" s="3"/>
      <c r="K70" s="4">
        <v>0.13</v>
      </c>
      <c r="L70" s="2">
        <f>(Table510133233672[[#This Row],[Total]] * (1 - Table510133233672[[#This Row],[Discount (%)]]) + Table510133233672[[#This Row],[ΕΦΚ]]) * (1 + Table510133233672[[#This Row],[TAX (%)]])</f>
        <v>14.068499999999998</v>
      </c>
    </row>
    <row r="71" spans="1:13" x14ac:dyDescent="0.3">
      <c r="A71" s="12">
        <v>46077</v>
      </c>
      <c r="B71" s="51" t="s">
        <v>320</v>
      </c>
      <c r="C71" s="3" t="s">
        <v>89</v>
      </c>
      <c r="D71" s="3" t="s">
        <v>321</v>
      </c>
      <c r="E71" s="3" t="s">
        <v>42</v>
      </c>
      <c r="F71" s="61">
        <v>2</v>
      </c>
      <c r="G71" s="19">
        <v>1.3</v>
      </c>
      <c r="H71" s="2">
        <f>Table510133233672[[#This Row],[Quantity]]*Table510133233672[[#This Row],[Unit Price]]</f>
        <v>2.6</v>
      </c>
      <c r="I71" s="78">
        <v>7.5999999999999998E-2</v>
      </c>
      <c r="J71" s="3"/>
      <c r="K71" s="4">
        <v>0.13</v>
      </c>
      <c r="L71" s="2">
        <f>(Table510133233672[[#This Row],[Total]] * (1 - Table510133233672[[#This Row],[Discount (%)]]) + Table510133233672[[#This Row],[ΕΦΚ]]) * (1 + Table510133233672[[#This Row],[TAX (%)]])</f>
        <v>2.714712</v>
      </c>
    </row>
    <row r="72" spans="1:13" x14ac:dyDescent="0.3">
      <c r="A72" s="12">
        <v>46077</v>
      </c>
      <c r="B72" s="51" t="s">
        <v>320</v>
      </c>
      <c r="C72" s="3" t="s">
        <v>89</v>
      </c>
      <c r="D72" s="3" t="s">
        <v>308</v>
      </c>
      <c r="E72" s="3" t="s">
        <v>53</v>
      </c>
      <c r="F72" s="61">
        <v>2.73</v>
      </c>
      <c r="G72" s="19">
        <v>7.77</v>
      </c>
      <c r="H72" s="2">
        <f>Table510133233672[[#This Row],[Quantity]]*Table510133233672[[#This Row],[Unit Price]]</f>
        <v>21.2121</v>
      </c>
      <c r="I72" s="78">
        <v>0.2535</v>
      </c>
      <c r="J72" s="3"/>
      <c r="K72" s="4">
        <v>0.13</v>
      </c>
      <c r="L72" s="2">
        <f>(Table510133233672[[#This Row],[Total]] * (1 - Table510133233672[[#This Row],[Discount (%)]]) + Table510133233672[[#This Row],[ΕΦΚ]]) * (1 + Table510133233672[[#This Row],[TAX (%)]])</f>
        <v>17.893360894499999</v>
      </c>
    </row>
    <row r="73" spans="1:13" x14ac:dyDescent="0.3">
      <c r="A73" s="12">
        <v>46066</v>
      </c>
      <c r="B73" s="51" t="s">
        <v>338</v>
      </c>
      <c r="C73" s="3" t="s">
        <v>89</v>
      </c>
      <c r="D73" s="3" t="s">
        <v>299</v>
      </c>
      <c r="E73" s="3" t="s">
        <v>53</v>
      </c>
      <c r="F73" s="61">
        <v>1</v>
      </c>
      <c r="G73" s="19">
        <v>7.4</v>
      </c>
      <c r="H73" s="2">
        <f>Table510133233672[[#This Row],[Quantity]]*Table510133233672[[#This Row],[Unit Price]]</f>
        <v>7.4</v>
      </c>
      <c r="I73" s="78">
        <v>0.2432</v>
      </c>
      <c r="J73" s="3"/>
      <c r="K73" s="4">
        <v>0.13</v>
      </c>
      <c r="L73" s="2">
        <f>(Table510133233672[[#This Row],[Total]] * (1 - Table510133233672[[#This Row],[Discount (%)]]) + Table510133233672[[#This Row],[ΕΦΚ]]) * (1 + Table510133233672[[#This Row],[TAX (%)]])</f>
        <v>6.3283616</v>
      </c>
    </row>
    <row r="74" spans="1:13" x14ac:dyDescent="0.3">
      <c r="A74" s="12">
        <v>46066</v>
      </c>
      <c r="B74" s="51" t="s">
        <v>338</v>
      </c>
      <c r="C74" s="3" t="s">
        <v>89</v>
      </c>
      <c r="D74" s="3" t="s">
        <v>293</v>
      </c>
      <c r="E74" s="3" t="s">
        <v>119</v>
      </c>
      <c r="F74" s="61">
        <v>4</v>
      </c>
      <c r="G74" s="19">
        <v>6.7</v>
      </c>
      <c r="H74" s="2">
        <f>Table510133233672[[#This Row],[Quantity]]*Table510133233672[[#This Row],[Unit Price]]</f>
        <v>26.8</v>
      </c>
      <c r="I74" s="78">
        <v>7.46E-2</v>
      </c>
      <c r="J74" s="3"/>
      <c r="K74" s="4">
        <v>0.13</v>
      </c>
      <c r="L74" s="2">
        <f>(Table510133233672[[#This Row],[Total]] * (1 - Table510133233672[[#This Row],[Discount (%)]]) + Table510133233672[[#This Row],[ΕΦΚ]]) * (1 + Table510133233672[[#This Row],[TAX (%)]])</f>
        <v>28.024813599999998</v>
      </c>
    </row>
    <row r="75" spans="1:13" x14ac:dyDescent="0.3">
      <c r="A75" s="12">
        <v>46066</v>
      </c>
      <c r="B75" s="51" t="s">
        <v>338</v>
      </c>
      <c r="C75" s="3" t="s">
        <v>89</v>
      </c>
      <c r="D75" s="3" t="s">
        <v>297</v>
      </c>
      <c r="E75" s="3" t="s">
        <v>53</v>
      </c>
      <c r="F75" s="61">
        <v>0.74</v>
      </c>
      <c r="G75" s="19">
        <v>9.4</v>
      </c>
      <c r="H75" s="2">
        <f>Table510133233672[[#This Row],[Quantity]]*Table510133233672[[#This Row],[Unit Price]]</f>
        <v>6.9560000000000004</v>
      </c>
      <c r="I75" s="78">
        <v>0.25</v>
      </c>
      <c r="J75" s="3"/>
      <c r="K75" s="4">
        <v>0.13</v>
      </c>
      <c r="L75" s="2">
        <f>(Table510133233672[[#This Row],[Total]] * (1 - Table510133233672[[#This Row],[Discount (%)]]) + Table510133233672[[#This Row],[ΕΦΚ]]) * (1 + Table510133233672[[#This Row],[TAX (%)]])</f>
        <v>5.8952099999999996</v>
      </c>
    </row>
    <row r="76" spans="1:13" x14ac:dyDescent="0.3">
      <c r="A76" s="12">
        <v>46066</v>
      </c>
      <c r="B76" s="51" t="s">
        <v>338</v>
      </c>
      <c r="C76" s="3" t="s">
        <v>89</v>
      </c>
      <c r="D76" s="3" t="s">
        <v>298</v>
      </c>
      <c r="E76" s="3" t="s">
        <v>53</v>
      </c>
      <c r="F76" s="61">
        <v>0.75</v>
      </c>
      <c r="G76" s="19">
        <v>5.47</v>
      </c>
      <c r="H76" s="2">
        <f>Table510133233672[[#This Row],[Quantity]]*Table510133233672[[#This Row],[Unit Price]]</f>
        <v>4.1025</v>
      </c>
      <c r="I76" s="78">
        <v>0.14990000000000001</v>
      </c>
      <c r="J76" s="3"/>
      <c r="K76" s="4">
        <v>0.13</v>
      </c>
      <c r="L76" s="2">
        <f>(Table510133233672[[#This Row],[Total]] * (1 - Table510133233672[[#This Row],[Discount (%)]]) + Table510133233672[[#This Row],[ΕΦΚ]]) * (1 + Table510133233672[[#This Row],[TAX (%)]])</f>
        <v>3.9409148324999999</v>
      </c>
    </row>
    <row r="77" spans="1:13" x14ac:dyDescent="0.3">
      <c r="A77" s="12">
        <v>46059</v>
      </c>
      <c r="B77" s="51" t="s">
        <v>340</v>
      </c>
      <c r="C77" s="3" t="s">
        <v>89</v>
      </c>
      <c r="D77" s="3" t="s">
        <v>293</v>
      </c>
      <c r="E77" s="3" t="s">
        <v>119</v>
      </c>
      <c r="F77" s="61">
        <v>5</v>
      </c>
      <c r="G77" s="19">
        <v>6.7</v>
      </c>
      <c r="H77" s="2">
        <f>Table510133233672[[#This Row],[Quantity]]*Table510133233672[[#This Row],[Unit Price]]</f>
        <v>33.5</v>
      </c>
      <c r="I77" s="78"/>
      <c r="J77" s="3"/>
      <c r="K77" s="4">
        <v>0.13</v>
      </c>
      <c r="L77" s="2">
        <f>(Table510133233672[[#This Row],[Total]] * (1 - Table510133233672[[#This Row],[Discount (%)]]) + Table510133233672[[#This Row],[ΕΦΚ]]) * (1 + Table510133233672[[#This Row],[TAX (%)]])</f>
        <v>37.854999999999997</v>
      </c>
    </row>
    <row r="78" spans="1:13" x14ac:dyDescent="0.3">
      <c r="A78" s="12">
        <v>46059</v>
      </c>
      <c r="B78" s="51" t="s">
        <v>340</v>
      </c>
      <c r="C78" s="3" t="s">
        <v>89</v>
      </c>
      <c r="D78" s="3" t="s">
        <v>307</v>
      </c>
      <c r="E78" s="3" t="s">
        <v>295</v>
      </c>
      <c r="F78" s="61">
        <v>2</v>
      </c>
      <c r="G78" s="19">
        <v>3.71</v>
      </c>
      <c r="H78" s="2">
        <f>Table510133233672[[#This Row],[Quantity]]*Table510133233672[[#This Row],[Unit Price]]</f>
        <v>7.42</v>
      </c>
      <c r="I78" s="78"/>
      <c r="J78" s="3"/>
      <c r="K78" s="4">
        <v>0.13</v>
      </c>
      <c r="L78" s="2">
        <f>(Table510133233672[[#This Row],[Total]] * (1 - Table510133233672[[#This Row],[Discount (%)]]) + Table510133233672[[#This Row],[ΕΦΚ]]) * (1 + Table510133233672[[#This Row],[TAX (%)]])</f>
        <v>8.3845999999999989</v>
      </c>
      <c r="M78" s="16" t="s">
        <v>310</v>
      </c>
    </row>
    <row r="79" spans="1:13" x14ac:dyDescent="0.3">
      <c r="A79" s="12">
        <v>46056</v>
      </c>
      <c r="B79" s="51" t="s">
        <v>339</v>
      </c>
      <c r="C79" s="3" t="s">
        <v>77</v>
      </c>
      <c r="D79" s="3" t="s">
        <v>300</v>
      </c>
      <c r="E79" s="3" t="s">
        <v>42</v>
      </c>
      <c r="F79" s="61">
        <v>3</v>
      </c>
      <c r="G79" s="19">
        <v>6.6</v>
      </c>
      <c r="H79" s="2">
        <f>Table510133233672[[#This Row],[Quantity]]*Table510133233672[[#This Row],[Unit Price]]</f>
        <v>19.799999999999997</v>
      </c>
      <c r="I79" s="78"/>
      <c r="J79" s="3"/>
      <c r="K79" s="4">
        <v>0.13</v>
      </c>
      <c r="L79" s="2">
        <f>(Table510133233672[[#This Row],[Total]] * (1 - Table510133233672[[#This Row],[Discount (%)]]) + Table510133233672[[#This Row],[ΕΦΚ]]) * (1 + Table510133233672[[#This Row],[TAX (%)]])</f>
        <v>22.373999999999995</v>
      </c>
    </row>
    <row r="80" spans="1:13" x14ac:dyDescent="0.3">
      <c r="A80" s="12">
        <v>46056</v>
      </c>
      <c r="B80" s="51" t="s">
        <v>339</v>
      </c>
      <c r="C80" s="3" t="s">
        <v>89</v>
      </c>
      <c r="D80" s="3" t="s">
        <v>299</v>
      </c>
      <c r="E80" s="3" t="s">
        <v>53</v>
      </c>
      <c r="F80" s="61">
        <v>2</v>
      </c>
      <c r="G80" s="19">
        <v>7.4</v>
      </c>
      <c r="H80" s="2">
        <f>Table510133233672[[#This Row],[Quantity]]*Table510133233672[[#This Row],[Unit Price]]</f>
        <v>14.8</v>
      </c>
      <c r="I80" s="78">
        <v>0.2432</v>
      </c>
      <c r="J80" s="3"/>
      <c r="K80" s="4">
        <v>0.13</v>
      </c>
      <c r="L80" s="2">
        <f>(Table510133233672[[#This Row],[Total]] * (1 - Table510133233672[[#This Row],[Discount (%)]]) + Table510133233672[[#This Row],[ΕΦΚ]]) * (1 + Table510133233672[[#This Row],[TAX (%)]])</f>
        <v>12.6567232</v>
      </c>
    </row>
    <row r="81" spans="1:13" x14ac:dyDescent="0.3">
      <c r="A81" s="12">
        <v>46056</v>
      </c>
      <c r="B81" s="51" t="s">
        <v>339</v>
      </c>
      <c r="C81" s="3" t="s">
        <v>89</v>
      </c>
      <c r="D81" s="3" t="s">
        <v>307</v>
      </c>
      <c r="E81" s="3" t="s">
        <v>295</v>
      </c>
      <c r="F81" s="61">
        <v>2</v>
      </c>
      <c r="G81" s="19">
        <v>3.71</v>
      </c>
      <c r="H81" s="2">
        <f>Table510133233672[[#This Row],[Quantity]]*Table510133233672[[#This Row],[Unit Price]]</f>
        <v>7.42</v>
      </c>
      <c r="I81" s="78"/>
      <c r="J81" s="3"/>
      <c r="K81" s="4">
        <v>0.13</v>
      </c>
      <c r="L81" s="2">
        <f>(Table510133233672[[#This Row],[Total]] * (1 - Table510133233672[[#This Row],[Discount (%)]]) + Table510133233672[[#This Row],[ΕΦΚ]]) * (1 + Table510133233672[[#This Row],[TAX (%)]])</f>
        <v>8.3845999999999989</v>
      </c>
      <c r="M81" s="16" t="s">
        <v>310</v>
      </c>
    </row>
    <row r="82" spans="1:13" x14ac:dyDescent="0.3">
      <c r="A82" s="12">
        <v>46056</v>
      </c>
      <c r="B82" s="51" t="s">
        <v>339</v>
      </c>
      <c r="C82" s="3" t="s">
        <v>89</v>
      </c>
      <c r="D82" s="3" t="s">
        <v>308</v>
      </c>
      <c r="E82" s="3" t="s">
        <v>53</v>
      </c>
      <c r="F82" s="61">
        <v>0.78</v>
      </c>
      <c r="G82" s="19">
        <v>7.77</v>
      </c>
      <c r="H82" s="2">
        <f>Table510133233672[[#This Row],[Quantity]]*Table510133233672[[#This Row],[Unit Price]]</f>
        <v>6.0606</v>
      </c>
      <c r="I82" s="78">
        <v>0.2535</v>
      </c>
      <c r="J82" s="3"/>
      <c r="K82" s="4">
        <v>0.13</v>
      </c>
      <c r="L82" s="2">
        <f>(Table510133233672[[#This Row],[Total]] * (1 - Table510133233672[[#This Row],[Discount (%)]]) + Table510133233672[[#This Row],[ΕΦΚ]]) * (1 + Table510133233672[[#This Row],[TAX (%)]])</f>
        <v>5.1123888269999984</v>
      </c>
    </row>
    <row r="83" spans="1:13" x14ac:dyDescent="0.3">
      <c r="A83" s="12">
        <v>46052</v>
      </c>
      <c r="B83" s="51" t="s">
        <v>334</v>
      </c>
      <c r="C83" s="3" t="s">
        <v>101</v>
      </c>
      <c r="D83" s="3" t="s">
        <v>335</v>
      </c>
      <c r="E83" s="3" t="s">
        <v>53</v>
      </c>
      <c r="F83" s="61">
        <v>2</v>
      </c>
      <c r="G83" s="19">
        <v>10.5</v>
      </c>
      <c r="H83" s="2">
        <f>Table510133233672[[#This Row],[Quantity]]*Table510133233672[[#This Row],[Unit Price]]</f>
        <v>21</v>
      </c>
      <c r="I83" s="78">
        <v>3.6200000000000003E-2</v>
      </c>
      <c r="J83" s="3"/>
      <c r="K83" s="4">
        <v>0.13</v>
      </c>
      <c r="L83" s="2">
        <f>(Table510133233672[[#This Row],[Total]] * (1 - Table510133233672[[#This Row],[Discount (%)]]) + Table510133233672[[#This Row],[ΕΦΚ]]) * (1 + Table510133233672[[#This Row],[TAX (%)]])</f>
        <v>22.870973999999997</v>
      </c>
      <c r="M83" s="80"/>
    </row>
    <row r="84" spans="1:13" x14ac:dyDescent="0.3">
      <c r="A84" s="12">
        <v>46052</v>
      </c>
      <c r="B84" s="51" t="s">
        <v>334</v>
      </c>
      <c r="C84" s="3" t="s">
        <v>89</v>
      </c>
      <c r="D84" s="3" t="s">
        <v>293</v>
      </c>
      <c r="E84" s="3" t="s">
        <v>119</v>
      </c>
      <c r="F84" s="61">
        <v>3</v>
      </c>
      <c r="G84" s="19">
        <v>6.7</v>
      </c>
      <c r="H84" s="2">
        <f>Table510133233672[[#This Row],[Quantity]]*Table510133233672[[#This Row],[Unit Price]]</f>
        <v>20.100000000000001</v>
      </c>
      <c r="I84" s="78">
        <v>7.46E-2</v>
      </c>
      <c r="J84" s="3"/>
      <c r="K84" s="4">
        <v>0.13</v>
      </c>
      <c r="L84" s="2">
        <f>(Table510133233672[[#This Row],[Total]] * (1 - Table510133233672[[#This Row],[Discount (%)]]) + Table510133233672[[#This Row],[ΕΦΚ]]) * (1 + Table510133233672[[#This Row],[TAX (%)]])</f>
        <v>21.018610200000001</v>
      </c>
    </row>
    <row r="85" spans="1:13" x14ac:dyDescent="0.3">
      <c r="A85" s="12">
        <v>46048</v>
      </c>
      <c r="B85" s="51" t="s">
        <v>332</v>
      </c>
      <c r="C85" s="3" t="s">
        <v>89</v>
      </c>
      <c r="D85" s="3" t="s">
        <v>293</v>
      </c>
      <c r="E85" s="3" t="s">
        <v>119</v>
      </c>
      <c r="F85" s="61">
        <v>3</v>
      </c>
      <c r="G85" s="19">
        <v>6.7</v>
      </c>
      <c r="H85" s="2">
        <f>Table510133233672[[#This Row],[Quantity]]*Table510133233672[[#This Row],[Unit Price]]</f>
        <v>20.100000000000001</v>
      </c>
      <c r="I85" s="78">
        <v>7.46E-2</v>
      </c>
      <c r="J85" s="3"/>
      <c r="K85" s="4">
        <v>0.13</v>
      </c>
      <c r="L85" s="2">
        <f>(Table510133233672[[#This Row],[Total]] * (1 - Table510133233672[[#This Row],[Discount (%)]]) + Table510133233672[[#This Row],[ΕΦΚ]]) * (1 + Table510133233672[[#This Row],[TAX (%)]])</f>
        <v>21.018610200000001</v>
      </c>
    </row>
    <row r="86" spans="1:13" x14ac:dyDescent="0.3">
      <c r="A86" s="12">
        <v>46048</v>
      </c>
      <c r="B86" s="51" t="s">
        <v>332</v>
      </c>
      <c r="C86" s="3" t="s">
        <v>89</v>
      </c>
      <c r="D86" s="3" t="s">
        <v>307</v>
      </c>
      <c r="E86" s="3" t="s">
        <v>295</v>
      </c>
      <c r="F86" s="61">
        <v>2</v>
      </c>
      <c r="G86" s="19">
        <v>3.71</v>
      </c>
      <c r="H86" s="2">
        <f>Table510133233672[[#This Row],[Quantity]]*Table510133233672[[#This Row],[Unit Price]]</f>
        <v>7.42</v>
      </c>
      <c r="I86" s="78"/>
      <c r="J86" s="3"/>
      <c r="K86" s="4">
        <v>0.13</v>
      </c>
      <c r="L86" s="2">
        <f>(Table510133233672[[#This Row],[Total]] * (1 - Table510133233672[[#This Row],[Discount (%)]]) + Table510133233672[[#This Row],[ΕΦΚ]]) * (1 + Table510133233672[[#This Row],[TAX (%)]])</f>
        <v>8.3845999999999989</v>
      </c>
      <c r="M86" s="16" t="s">
        <v>310</v>
      </c>
    </row>
    <row r="87" spans="1:13" x14ac:dyDescent="0.3">
      <c r="A87" s="12">
        <v>46048</v>
      </c>
      <c r="B87" s="51" t="s">
        <v>332</v>
      </c>
      <c r="C87" s="3" t="s">
        <v>89</v>
      </c>
      <c r="D87" s="3" t="s">
        <v>303</v>
      </c>
      <c r="E87" s="3" t="s">
        <v>53</v>
      </c>
      <c r="F87" s="61">
        <v>1</v>
      </c>
      <c r="G87" s="19">
        <v>12.45</v>
      </c>
      <c r="H87" s="2">
        <f>Table510133233672[[#This Row],[Quantity]]*Table510133233672[[#This Row],[Unit Price]]</f>
        <v>12.45</v>
      </c>
      <c r="I87" s="78"/>
      <c r="J87" s="3"/>
      <c r="K87" s="4">
        <v>0.13</v>
      </c>
      <c r="L87" s="2">
        <f>(Table510133233672[[#This Row],[Total]] * (1 - Table510133233672[[#This Row],[Discount (%)]]) + Table510133233672[[#This Row],[ΕΦΚ]]) * (1 + Table510133233672[[#This Row],[TAX (%)]])</f>
        <v>14.068499999999998</v>
      </c>
    </row>
    <row r="88" spans="1:13" x14ac:dyDescent="0.3">
      <c r="A88" s="12">
        <v>46048</v>
      </c>
      <c r="B88" s="51" t="s">
        <v>332</v>
      </c>
      <c r="C88" s="3" t="s">
        <v>101</v>
      </c>
      <c r="D88" s="3" t="s">
        <v>333</v>
      </c>
      <c r="E88" s="3" t="s">
        <v>42</v>
      </c>
      <c r="F88" s="61">
        <v>1</v>
      </c>
      <c r="G88" s="19">
        <v>4.9000000000000004</v>
      </c>
      <c r="H88" s="2">
        <f>Table510133233672[[#This Row],[Quantity]]*Table510133233672[[#This Row],[Unit Price]]</f>
        <v>4.9000000000000004</v>
      </c>
      <c r="I88" s="78">
        <v>7.1400000000000005E-2</v>
      </c>
      <c r="J88" s="3"/>
      <c r="K88" s="4">
        <v>0.13</v>
      </c>
      <c r="L88" s="2">
        <f>(Table510133233672[[#This Row],[Total]] * (1 - Table510133233672[[#This Row],[Discount (%)]]) + Table510133233672[[#This Row],[ΕΦΚ]]) * (1 + Table510133233672[[#This Row],[TAX (%)]])</f>
        <v>5.1416581999999993</v>
      </c>
      <c r="M88" s="80"/>
    </row>
    <row r="89" spans="1:13" x14ac:dyDescent="0.3">
      <c r="A89" s="12">
        <v>46048</v>
      </c>
      <c r="B89" s="51" t="s">
        <v>332</v>
      </c>
      <c r="C89" s="3" t="s">
        <v>89</v>
      </c>
      <c r="D89" s="3" t="s">
        <v>290</v>
      </c>
      <c r="E89" s="3" t="s">
        <v>42</v>
      </c>
      <c r="F89" s="61">
        <v>4</v>
      </c>
      <c r="G89" s="19">
        <v>1.65</v>
      </c>
      <c r="H89" s="2">
        <f>Table510133233672[[#This Row],[Quantity]]*Table510133233672[[#This Row],[Unit Price]]</f>
        <v>6.6</v>
      </c>
      <c r="I89" s="78">
        <v>0.09</v>
      </c>
      <c r="J89" s="3"/>
      <c r="K89" s="4">
        <v>0.13</v>
      </c>
      <c r="L89" s="2">
        <f>(Table510133233672[[#This Row],[Total]] * (1 - Table510133233672[[#This Row],[Discount (%)]]) + Table510133233672[[#This Row],[ΕΦΚ]]) * (1 + Table510133233672[[#This Row],[TAX (%)]])</f>
        <v>6.7867799999999994</v>
      </c>
    </row>
  </sheetData>
  <phoneticPr fontId="5" type="noConversion"/>
  <dataValidations count="3">
    <dataValidation type="date" allowBlank="1" showInputMessage="1" showErrorMessage="1" sqref="A1:A89" xr:uid="{4B612385-E8C6-4B3D-9D4D-ADDCE648E835}">
      <formula1>1</formula1>
      <formula2>401404</formula2>
    </dataValidation>
    <dataValidation type="list" showInputMessage="1" showErrorMessage="1" sqref="C1:C1048576" xr:uid="{B72B1C79-658C-4ED2-BB49-E954D420A90C}">
      <formula1>"COFFEE,BEVERAGE,WINE,BEER,FOOD,DAIRY,ALCOHOL,NON-FOOD"</formula1>
    </dataValidation>
    <dataValidation type="list" showInputMessage="1" showErrorMessage="1" sqref="E1:E1048576" xr:uid="{0376AF05-7410-4A60-9B7E-3413774EF879}">
      <formula1>"ΤΕΜ,ΚΙΒ,ΦΙΑ,ΚΙΛΑ,ΛΙΤΡΑ,ΠΑΚ,ΑΛΛΟ"</formula1>
    </dataValidation>
  </dataValidations>
  <pageMargins left="0.7" right="0.7" top="0.75" bottom="0.75" header="0.3" footer="0.3"/>
  <ignoredErrors>
    <ignoredError sqref="A1 C1 E1 A90:A1048576 C90:C1048576 E90:E1048576" listDataValidatio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E3701-35AC-4EA3-B4C8-E541D1195DAF}">
  <dimension ref="A1:M137"/>
  <sheetViews>
    <sheetView workbookViewId="0">
      <selection activeCell="O5" sqref="O5"/>
    </sheetView>
  </sheetViews>
  <sheetFormatPr defaultColWidth="10.7265625" defaultRowHeight="14" x14ac:dyDescent="0.3"/>
  <cols>
    <col min="1" max="1" width="11.26953125" style="48" bestFit="1" customWidth="1"/>
    <col min="2" max="2" width="13.453125" style="16" bestFit="1" customWidth="1"/>
    <col min="3" max="3" width="11.26953125" style="16" bestFit="1" customWidth="1"/>
    <col min="4" max="4" width="31.81640625" style="16" bestFit="1" customWidth="1"/>
    <col min="5" max="5" width="8" style="16" bestFit="1" customWidth="1"/>
    <col min="6" max="6" width="11.7265625" style="16" bestFit="1" customWidth="1"/>
    <col min="7" max="7" width="14.7265625" style="20" bestFit="1" customWidth="1"/>
    <col min="8" max="8" width="9.81640625" style="49" bestFit="1" customWidth="1"/>
    <col min="9" max="9" width="16.26953125" style="17" bestFit="1" customWidth="1"/>
    <col min="10" max="10" width="8" style="16" bestFit="1" customWidth="1"/>
    <col min="11" max="11" width="11.26953125" style="17" bestFit="1" customWidth="1"/>
    <col min="12" max="12" width="13.54296875" style="49" bestFit="1" customWidth="1"/>
    <col min="13" max="13" width="10.81640625" style="16" bestFit="1" customWidth="1"/>
    <col min="14" max="16384" width="10.7265625" style="16"/>
  </cols>
  <sheetData>
    <row r="1" spans="1:13" s="8" customFormat="1" x14ac:dyDescent="0.3">
      <c r="A1" s="54" t="s">
        <v>3</v>
      </c>
      <c r="B1" s="8" t="s">
        <v>8</v>
      </c>
      <c r="C1" s="8" t="s">
        <v>10</v>
      </c>
      <c r="D1" s="8" t="s">
        <v>97</v>
      </c>
      <c r="E1" s="16" t="s">
        <v>41</v>
      </c>
      <c r="F1" s="8" t="s">
        <v>4</v>
      </c>
      <c r="G1" s="22" t="s">
        <v>6</v>
      </c>
      <c r="H1" s="9" t="s">
        <v>5</v>
      </c>
      <c r="I1" s="10" t="s">
        <v>7</v>
      </c>
      <c r="J1" s="10" t="s">
        <v>60</v>
      </c>
      <c r="K1" s="10" t="s">
        <v>29</v>
      </c>
      <c r="L1" s="14" t="s">
        <v>11</v>
      </c>
      <c r="M1" s="8" t="s">
        <v>198</v>
      </c>
    </row>
    <row r="2" spans="1:13" s="3" customFormat="1" ht="15" customHeight="1" x14ac:dyDescent="0.35">
      <c r="A2" s="12">
        <v>46132</v>
      </c>
      <c r="B2" s="3">
        <v>37716</v>
      </c>
      <c r="C2" s="3" t="s">
        <v>77</v>
      </c>
      <c r="D2" s="3" t="s">
        <v>223</v>
      </c>
      <c r="E2" s="3" t="s">
        <v>53</v>
      </c>
      <c r="F2" s="3">
        <v>15.7</v>
      </c>
      <c r="G2" s="19">
        <v>1.45</v>
      </c>
      <c r="H2" s="2">
        <f>Table5101332337071[[#This Row],[Quantity]]*Table5101332337071[[#This Row],[Unit Price]]</f>
        <v>22.764999999999997</v>
      </c>
      <c r="I2" s="4">
        <v>0.02</v>
      </c>
      <c r="J2" s="4"/>
      <c r="K2" s="4">
        <v>0.13</v>
      </c>
      <c r="L2" s="5">
        <f>(Table5101332337071[[#This Row],[Total]] * (1 - Table5101332337071[[#This Row],[Discount (%)]]) + Table5101332337071[[#This Row],[ΕΦΚ]]) * (1 + Table5101332337071[[#This Row],[TAX (%)]])</f>
        <v>25.209960999999993</v>
      </c>
    </row>
    <row r="3" spans="1:13" x14ac:dyDescent="0.3">
      <c r="A3" s="12">
        <v>46132</v>
      </c>
      <c r="B3" s="51">
        <v>37716</v>
      </c>
      <c r="C3" s="12" t="s">
        <v>77</v>
      </c>
      <c r="D3" s="3" t="s">
        <v>224</v>
      </c>
      <c r="E3" s="3" t="s">
        <v>53</v>
      </c>
      <c r="F3" s="52">
        <v>3.5</v>
      </c>
      <c r="G3" s="19">
        <v>2.6</v>
      </c>
      <c r="H3" s="2">
        <f>Table5101332337071[[#This Row],[Quantity]]*Table5101332337071[[#This Row],[Unit Price]]</f>
        <v>9.1</v>
      </c>
      <c r="I3" s="4">
        <v>0.02</v>
      </c>
      <c r="J3" s="4"/>
      <c r="K3" s="53">
        <v>0.13</v>
      </c>
      <c r="L3" s="2">
        <f>(Table5101332337071[[#This Row],[Total]] * (1 - Table5101332337071[[#This Row],[Discount (%)]]) + Table5101332337071[[#This Row],[ΕΦΚ]]) * (1 + Table5101332337071[[#This Row],[TAX (%)]])</f>
        <v>10.077339999999998</v>
      </c>
    </row>
    <row r="4" spans="1:13" x14ac:dyDescent="0.3">
      <c r="A4" s="12">
        <v>46132</v>
      </c>
      <c r="B4" s="3">
        <v>37716</v>
      </c>
      <c r="C4" s="3" t="s">
        <v>77</v>
      </c>
      <c r="D4" s="3" t="s">
        <v>225</v>
      </c>
      <c r="E4" s="3" t="s">
        <v>53</v>
      </c>
      <c r="F4" s="3">
        <v>0.85</v>
      </c>
      <c r="G4" s="19">
        <v>6.2</v>
      </c>
      <c r="H4" s="2">
        <f>Table5101332337071[[#This Row],[Quantity]]*Table5101332337071[[#This Row],[Unit Price]]</f>
        <v>5.27</v>
      </c>
      <c r="I4" s="4">
        <v>0.02</v>
      </c>
      <c r="J4" s="3"/>
      <c r="K4" s="4">
        <v>0.13</v>
      </c>
      <c r="L4" s="2">
        <f>(Table5101332337071[[#This Row],[Total]] * (1 - Table5101332337071[[#This Row],[Discount (%)]]) + Table5101332337071[[#This Row],[ΕΦΚ]]) * (1 + Table5101332337071[[#This Row],[TAX (%)]])</f>
        <v>5.8359979999999982</v>
      </c>
    </row>
    <row r="5" spans="1:13" x14ac:dyDescent="0.3">
      <c r="A5" s="12">
        <v>46132</v>
      </c>
      <c r="B5" s="51">
        <v>37716</v>
      </c>
      <c r="C5" s="12" t="s">
        <v>77</v>
      </c>
      <c r="D5" s="3" t="s">
        <v>226</v>
      </c>
      <c r="E5" s="3" t="s">
        <v>53</v>
      </c>
      <c r="F5" s="3">
        <v>2</v>
      </c>
      <c r="G5" s="19">
        <v>1.1499999999999999</v>
      </c>
      <c r="H5" s="2">
        <f>Table5101332337071[[#This Row],[Quantity]]*Table5101332337071[[#This Row],[Unit Price]]</f>
        <v>2.2999999999999998</v>
      </c>
      <c r="I5" s="4">
        <v>0.02</v>
      </c>
      <c r="J5" s="3"/>
      <c r="K5" s="4">
        <v>0.13</v>
      </c>
      <c r="L5" s="2">
        <f>(Table5101332337071[[#This Row],[Total]] * (1 - Table5101332337071[[#This Row],[Discount (%)]]) + Table5101332337071[[#This Row],[ΕΦΚ]]) * (1 + Table5101332337071[[#This Row],[TAX (%)]])</f>
        <v>2.5470199999999998</v>
      </c>
    </row>
    <row r="6" spans="1:13" x14ac:dyDescent="0.3">
      <c r="A6" s="12">
        <v>46132</v>
      </c>
      <c r="B6" s="3">
        <v>37716</v>
      </c>
      <c r="C6" s="3" t="s">
        <v>77</v>
      </c>
      <c r="D6" s="3" t="s">
        <v>227</v>
      </c>
      <c r="E6" s="3" t="s">
        <v>53</v>
      </c>
      <c r="F6" s="3">
        <v>2.4</v>
      </c>
      <c r="G6" s="19">
        <v>1.8</v>
      </c>
      <c r="H6" s="2">
        <f>Table5101332337071[[#This Row],[Quantity]]*Table5101332337071[[#This Row],[Unit Price]]</f>
        <v>4.32</v>
      </c>
      <c r="I6" s="4">
        <v>0.02</v>
      </c>
      <c r="J6" s="3"/>
      <c r="K6" s="4">
        <v>0.13</v>
      </c>
      <c r="L6" s="2">
        <f>(Table5101332337071[[#This Row],[Total]] * (1 - Table5101332337071[[#This Row],[Discount (%)]]) + Table5101332337071[[#This Row],[ΕΦΚ]]) * (1 + Table5101332337071[[#This Row],[TAX (%)]])</f>
        <v>4.7839679999999998</v>
      </c>
    </row>
    <row r="7" spans="1:13" x14ac:dyDescent="0.3">
      <c r="A7" s="12">
        <v>46132</v>
      </c>
      <c r="B7" s="51">
        <v>37716</v>
      </c>
      <c r="C7" s="12" t="s">
        <v>77</v>
      </c>
      <c r="D7" s="3" t="s">
        <v>228</v>
      </c>
      <c r="E7" s="3" t="s">
        <v>53</v>
      </c>
      <c r="F7" s="3">
        <v>1.5</v>
      </c>
      <c r="G7" s="19">
        <v>1.85</v>
      </c>
      <c r="H7" s="2">
        <f>Table5101332337071[[#This Row],[Quantity]]*Table5101332337071[[#This Row],[Unit Price]]</f>
        <v>2.7750000000000004</v>
      </c>
      <c r="I7" s="4">
        <v>0.02</v>
      </c>
      <c r="J7" s="3"/>
      <c r="K7" s="4">
        <v>0.13</v>
      </c>
      <c r="L7" s="2">
        <f>(Table5101332337071[[#This Row],[Total]] * (1 - Table5101332337071[[#This Row],[Discount (%)]]) + Table5101332337071[[#This Row],[ΕΦΚ]]) * (1 + Table5101332337071[[#This Row],[TAX (%)]])</f>
        <v>3.0730350000000004</v>
      </c>
    </row>
    <row r="8" spans="1:13" x14ac:dyDescent="0.3">
      <c r="A8" s="12">
        <v>46132</v>
      </c>
      <c r="B8" s="3">
        <v>37716</v>
      </c>
      <c r="C8" s="3" t="s">
        <v>77</v>
      </c>
      <c r="D8" s="3" t="s">
        <v>229</v>
      </c>
      <c r="E8" s="3" t="s">
        <v>53</v>
      </c>
      <c r="F8" s="3">
        <v>1.4</v>
      </c>
      <c r="G8" s="19">
        <v>2.5</v>
      </c>
      <c r="H8" s="2">
        <f>Table5101332337071[[#This Row],[Quantity]]*Table5101332337071[[#This Row],[Unit Price]]</f>
        <v>3.5</v>
      </c>
      <c r="I8" s="4">
        <v>0.02</v>
      </c>
      <c r="J8" s="3"/>
      <c r="K8" s="4">
        <v>0.13</v>
      </c>
      <c r="L8" s="2">
        <f>(Table5101332337071[[#This Row],[Total]] * (1 - Table5101332337071[[#This Row],[Discount (%)]]) + Table5101332337071[[#This Row],[ΕΦΚ]]) * (1 + Table5101332337071[[#This Row],[TAX (%)]])</f>
        <v>3.8758999999999992</v>
      </c>
    </row>
    <row r="9" spans="1:13" x14ac:dyDescent="0.3">
      <c r="A9" s="12">
        <v>46132</v>
      </c>
      <c r="B9" s="51">
        <v>37716</v>
      </c>
      <c r="C9" s="12" t="s">
        <v>77</v>
      </c>
      <c r="D9" s="3" t="s">
        <v>230</v>
      </c>
      <c r="E9" s="3" t="s">
        <v>53</v>
      </c>
      <c r="F9" s="3">
        <v>1.4</v>
      </c>
      <c r="G9" s="19">
        <v>1.6</v>
      </c>
      <c r="H9" s="2">
        <f>Table5101332337071[[#This Row],[Quantity]]*Table5101332337071[[#This Row],[Unit Price]]</f>
        <v>2.2399999999999998</v>
      </c>
      <c r="I9" s="4">
        <v>0.02</v>
      </c>
      <c r="J9" s="3"/>
      <c r="K9" s="4">
        <v>0.13</v>
      </c>
      <c r="L9" s="2">
        <f>(Table5101332337071[[#This Row],[Total]] * (1 - Table5101332337071[[#This Row],[Discount (%)]]) + Table5101332337071[[#This Row],[ΕΦΚ]]) * (1 + Table5101332337071[[#This Row],[TAX (%)]])</f>
        <v>2.4805759999999997</v>
      </c>
    </row>
    <row r="10" spans="1:13" x14ac:dyDescent="0.3">
      <c r="A10" s="12">
        <v>46132</v>
      </c>
      <c r="B10" s="3">
        <v>37716</v>
      </c>
      <c r="C10" s="3" t="s">
        <v>77</v>
      </c>
      <c r="D10" s="3" t="s">
        <v>231</v>
      </c>
      <c r="E10" s="3" t="s">
        <v>53</v>
      </c>
      <c r="F10" s="3">
        <v>1</v>
      </c>
      <c r="G10" s="19">
        <v>3.5</v>
      </c>
      <c r="H10" s="2">
        <f>Table5101332337071[[#This Row],[Quantity]]*Table5101332337071[[#This Row],[Unit Price]]</f>
        <v>3.5</v>
      </c>
      <c r="I10" s="4">
        <v>0.02</v>
      </c>
      <c r="J10" s="3"/>
      <c r="K10" s="4">
        <v>0.13</v>
      </c>
      <c r="L10" s="2">
        <f>(Table5101332337071[[#This Row],[Total]] * (1 - Table5101332337071[[#This Row],[Discount (%)]]) + Table5101332337071[[#This Row],[ΕΦΚ]]) * (1 + Table5101332337071[[#This Row],[TAX (%)]])</f>
        <v>3.8758999999999992</v>
      </c>
    </row>
    <row r="11" spans="1:13" x14ac:dyDescent="0.3">
      <c r="A11" s="12">
        <v>46132</v>
      </c>
      <c r="B11" s="51">
        <v>37716</v>
      </c>
      <c r="C11" s="3" t="s">
        <v>77</v>
      </c>
      <c r="D11" s="3" t="s">
        <v>232</v>
      </c>
      <c r="E11" s="3" t="s">
        <v>53</v>
      </c>
      <c r="F11" s="3">
        <v>1</v>
      </c>
      <c r="G11" s="19">
        <v>1.8</v>
      </c>
      <c r="H11" s="2">
        <f>Table5101332337071[[#This Row],[Quantity]]*Table5101332337071[[#This Row],[Unit Price]]</f>
        <v>1.8</v>
      </c>
      <c r="I11" s="4">
        <v>0.02</v>
      </c>
      <c r="J11" s="3"/>
      <c r="K11" s="4">
        <v>0.13</v>
      </c>
      <c r="L11" s="2">
        <f>(Table5101332337071[[#This Row],[Total]] * (1 - Table5101332337071[[#This Row],[Discount (%)]]) + Table5101332337071[[#This Row],[ΕΦΚ]]) * (1 + Table5101332337071[[#This Row],[TAX (%)]])</f>
        <v>1.9933199999999998</v>
      </c>
    </row>
    <row r="12" spans="1:13" x14ac:dyDescent="0.3">
      <c r="A12" s="12">
        <v>46127</v>
      </c>
      <c r="B12" s="51">
        <v>37594</v>
      </c>
      <c r="C12" s="3" t="s">
        <v>77</v>
      </c>
      <c r="D12" s="3" t="s">
        <v>234</v>
      </c>
      <c r="E12" s="3" t="s">
        <v>53</v>
      </c>
      <c r="F12" s="3">
        <v>15.8</v>
      </c>
      <c r="G12" s="19">
        <v>1.2</v>
      </c>
      <c r="H12" s="2">
        <f>Table5101332337071[[#This Row],[Quantity]]*Table5101332337071[[#This Row],[Unit Price]]</f>
        <v>18.96</v>
      </c>
      <c r="I12" s="4">
        <v>0.02</v>
      </c>
      <c r="J12" s="3"/>
      <c r="K12" s="4">
        <v>0.13</v>
      </c>
      <c r="L12" s="2">
        <f>(Table5101332337071[[#This Row],[Total]] * (1 - Table5101332337071[[#This Row],[Discount (%)]]) + Table5101332337071[[#This Row],[ΕΦΚ]]) * (1 + Table5101332337071[[#This Row],[TAX (%)]])</f>
        <v>20.996303999999999</v>
      </c>
    </row>
    <row r="13" spans="1:13" x14ac:dyDescent="0.3">
      <c r="A13" s="12">
        <v>46127</v>
      </c>
      <c r="B13" s="51">
        <v>37594</v>
      </c>
      <c r="C13" s="3" t="s">
        <v>77</v>
      </c>
      <c r="D13" s="3" t="s">
        <v>235</v>
      </c>
      <c r="E13" s="3" t="s">
        <v>53</v>
      </c>
      <c r="F13" s="3">
        <v>1</v>
      </c>
      <c r="G13" s="19">
        <v>1.1499999999999999</v>
      </c>
      <c r="H13" s="2">
        <f>Table5101332337071[[#This Row],[Quantity]]*Table5101332337071[[#This Row],[Unit Price]]</f>
        <v>1.1499999999999999</v>
      </c>
      <c r="I13" s="4">
        <v>0.02</v>
      </c>
      <c r="J13" s="3"/>
      <c r="K13" s="4">
        <v>0.13</v>
      </c>
      <c r="L13" s="2">
        <f>(Table5101332337071[[#This Row],[Total]] * (1 - Table5101332337071[[#This Row],[Discount (%)]]) + Table5101332337071[[#This Row],[ΕΦΚ]]) * (1 + Table5101332337071[[#This Row],[TAX (%)]])</f>
        <v>1.2735099999999999</v>
      </c>
    </row>
    <row r="14" spans="1:13" x14ac:dyDescent="0.3">
      <c r="A14" s="12">
        <v>46127</v>
      </c>
      <c r="B14" s="51">
        <v>37594</v>
      </c>
      <c r="C14" s="3" t="s">
        <v>77</v>
      </c>
      <c r="D14" s="3" t="s">
        <v>236</v>
      </c>
      <c r="E14" s="3" t="s">
        <v>53</v>
      </c>
      <c r="F14" s="3">
        <v>1</v>
      </c>
      <c r="G14" s="19">
        <v>1.1499999999999999</v>
      </c>
      <c r="H14" s="2">
        <f>Table5101332337071[[#This Row],[Quantity]]*Table5101332337071[[#This Row],[Unit Price]]</f>
        <v>1.1499999999999999</v>
      </c>
      <c r="I14" s="4">
        <v>0.02</v>
      </c>
      <c r="J14" s="3"/>
      <c r="K14" s="4">
        <v>0.13</v>
      </c>
      <c r="L14" s="2">
        <f>(Table5101332337071[[#This Row],[Total]] * (1 - Table5101332337071[[#This Row],[Discount (%)]]) + Table5101332337071[[#This Row],[ΕΦΚ]]) * (1 + Table5101332337071[[#This Row],[TAX (%)]])</f>
        <v>1.2735099999999999</v>
      </c>
    </row>
    <row r="15" spans="1:13" x14ac:dyDescent="0.3">
      <c r="A15" s="12">
        <v>46127</v>
      </c>
      <c r="B15" s="51">
        <v>37594</v>
      </c>
      <c r="C15" s="3" t="s">
        <v>77</v>
      </c>
      <c r="D15" s="3" t="s">
        <v>237</v>
      </c>
      <c r="E15" s="3" t="s">
        <v>53</v>
      </c>
      <c r="F15" s="3">
        <v>3</v>
      </c>
      <c r="G15" s="19">
        <v>3.2</v>
      </c>
      <c r="H15" s="2">
        <f>Table5101332337071[[#This Row],[Quantity]]*Table5101332337071[[#This Row],[Unit Price]]</f>
        <v>9.6000000000000014</v>
      </c>
      <c r="I15" s="4">
        <v>0.02</v>
      </c>
      <c r="J15" s="3"/>
      <c r="K15" s="4">
        <v>0.13</v>
      </c>
      <c r="L15" s="2">
        <f>(Table5101332337071[[#This Row],[Total]] * (1 - Table5101332337071[[#This Row],[Discount (%)]]) + Table5101332337071[[#This Row],[ΕΦΚ]]) * (1 + Table5101332337071[[#This Row],[TAX (%)]])</f>
        <v>10.63104</v>
      </c>
    </row>
    <row r="16" spans="1:13" x14ac:dyDescent="0.3">
      <c r="A16" s="12">
        <v>46127</v>
      </c>
      <c r="B16" s="51">
        <v>37594</v>
      </c>
      <c r="C16" s="3" t="s">
        <v>77</v>
      </c>
      <c r="D16" s="3" t="s">
        <v>238</v>
      </c>
      <c r="E16" s="3" t="s">
        <v>53</v>
      </c>
      <c r="F16" s="3">
        <v>1</v>
      </c>
      <c r="G16" s="19">
        <v>4.4000000000000004</v>
      </c>
      <c r="H16" s="2">
        <f>Table5101332337071[[#This Row],[Quantity]]*Table5101332337071[[#This Row],[Unit Price]]</f>
        <v>4.4000000000000004</v>
      </c>
      <c r="I16" s="4">
        <v>0.02</v>
      </c>
      <c r="J16" s="3"/>
      <c r="K16" s="4">
        <v>0.13</v>
      </c>
      <c r="L16" s="2">
        <f>(Table5101332337071[[#This Row],[Total]] * (1 - Table5101332337071[[#This Row],[Discount (%)]]) + Table5101332337071[[#This Row],[ΕΦΚ]]) * (1 + Table5101332337071[[#This Row],[TAX (%)]])</f>
        <v>4.87256</v>
      </c>
    </row>
    <row r="17" spans="1:12" x14ac:dyDescent="0.3">
      <c r="A17" s="12">
        <v>46127</v>
      </c>
      <c r="B17" s="51">
        <v>37594</v>
      </c>
      <c r="C17" s="3" t="s">
        <v>77</v>
      </c>
      <c r="D17" s="3" t="s">
        <v>230</v>
      </c>
      <c r="E17" s="3" t="s">
        <v>53</v>
      </c>
      <c r="F17" s="3">
        <v>1.2</v>
      </c>
      <c r="G17" s="19">
        <v>1.6</v>
      </c>
      <c r="H17" s="2">
        <f>Table5101332337071[[#This Row],[Quantity]]*Table5101332337071[[#This Row],[Unit Price]]</f>
        <v>1.92</v>
      </c>
      <c r="I17" s="4">
        <v>0.02</v>
      </c>
      <c r="J17" s="3"/>
      <c r="K17" s="4">
        <v>0.13</v>
      </c>
      <c r="L17" s="2">
        <f>(Table5101332337071[[#This Row],[Total]] * (1 - Table5101332337071[[#This Row],[Discount (%)]]) + Table5101332337071[[#This Row],[ΕΦΚ]]) * (1 + Table5101332337071[[#This Row],[TAX (%)]])</f>
        <v>2.1262079999999997</v>
      </c>
    </row>
    <row r="18" spans="1:12" x14ac:dyDescent="0.3">
      <c r="A18" s="12">
        <v>46127</v>
      </c>
      <c r="B18" s="51">
        <v>37608</v>
      </c>
      <c r="C18" s="3" t="s">
        <v>77</v>
      </c>
      <c r="D18" s="3" t="s">
        <v>226</v>
      </c>
      <c r="E18" s="3" t="s">
        <v>53</v>
      </c>
      <c r="F18" s="3">
        <v>1</v>
      </c>
      <c r="G18" s="19">
        <v>1.1499999999999999</v>
      </c>
      <c r="H18" s="2">
        <f>Table5101332337071[[#This Row],[Quantity]]*Table5101332337071[[#This Row],[Unit Price]]</f>
        <v>1.1499999999999999</v>
      </c>
      <c r="I18" s="4">
        <v>0.02</v>
      </c>
      <c r="J18" s="3"/>
      <c r="K18" s="4">
        <v>0.13</v>
      </c>
      <c r="L18" s="2">
        <f>(Table5101332337071[[#This Row],[Total]] * (1 - Table5101332337071[[#This Row],[Discount (%)]]) + Table5101332337071[[#This Row],[ΕΦΚ]]) * (1 + Table5101332337071[[#This Row],[TAX (%)]])</f>
        <v>1.2735099999999999</v>
      </c>
    </row>
    <row r="19" spans="1:12" x14ac:dyDescent="0.3">
      <c r="A19" s="12">
        <v>46122</v>
      </c>
      <c r="B19" s="51">
        <v>37502</v>
      </c>
      <c r="C19" s="3" t="s">
        <v>77</v>
      </c>
      <c r="D19" s="3" t="s">
        <v>241</v>
      </c>
      <c r="E19" s="3" t="s">
        <v>53</v>
      </c>
      <c r="F19" s="3">
        <v>29.5</v>
      </c>
      <c r="G19" s="19">
        <v>1</v>
      </c>
      <c r="H19" s="2">
        <f>Table5101332337071[[#This Row],[Quantity]]*Table5101332337071[[#This Row],[Unit Price]]</f>
        <v>29.5</v>
      </c>
      <c r="I19" s="4">
        <v>0.02</v>
      </c>
      <c r="J19" s="3"/>
      <c r="K19" s="4">
        <v>0.13</v>
      </c>
      <c r="L19" s="2">
        <f>(Table5101332337071[[#This Row],[Total]] * (1 - Table5101332337071[[#This Row],[Discount (%)]]) + Table5101332337071[[#This Row],[ΕΦΚ]]) * (1 + Table5101332337071[[#This Row],[TAX (%)]])</f>
        <v>32.668299999999995</v>
      </c>
    </row>
    <row r="20" spans="1:12" x14ac:dyDescent="0.3">
      <c r="A20" s="12">
        <v>46122</v>
      </c>
      <c r="B20" s="51">
        <v>37502</v>
      </c>
      <c r="C20" s="3" t="s">
        <v>77</v>
      </c>
      <c r="D20" s="3" t="s">
        <v>237</v>
      </c>
      <c r="E20" s="3" t="s">
        <v>53</v>
      </c>
      <c r="F20" s="3">
        <v>1.8</v>
      </c>
      <c r="G20" s="19">
        <v>3.6</v>
      </c>
      <c r="H20" s="2">
        <f>Table5101332337071[[#This Row],[Quantity]]*Table5101332337071[[#This Row],[Unit Price]]</f>
        <v>6.48</v>
      </c>
      <c r="I20" s="4">
        <v>0.02</v>
      </c>
      <c r="J20" s="3"/>
      <c r="K20" s="4">
        <v>0.13</v>
      </c>
      <c r="L20" s="2">
        <f>(Table5101332337071[[#This Row],[Total]] * (1 - Table5101332337071[[#This Row],[Discount (%)]]) + Table5101332337071[[#This Row],[ΕΦΚ]]) * (1 + Table5101332337071[[#This Row],[TAX (%)]])</f>
        <v>7.1759519999999997</v>
      </c>
    </row>
    <row r="21" spans="1:12" x14ac:dyDescent="0.3">
      <c r="A21" s="12">
        <v>46122</v>
      </c>
      <c r="B21" s="51">
        <v>37502</v>
      </c>
      <c r="C21" s="3" t="s">
        <v>77</v>
      </c>
      <c r="D21" s="3" t="s">
        <v>242</v>
      </c>
      <c r="E21" s="3" t="s">
        <v>53</v>
      </c>
      <c r="F21" s="3">
        <v>4</v>
      </c>
      <c r="G21" s="19">
        <v>0.75</v>
      </c>
      <c r="H21" s="2">
        <f>Table5101332337071[[#This Row],[Quantity]]*Table5101332337071[[#This Row],[Unit Price]]</f>
        <v>3</v>
      </c>
      <c r="I21" s="4">
        <v>0.02</v>
      </c>
      <c r="J21" s="3"/>
      <c r="K21" s="4">
        <v>0.13</v>
      </c>
      <c r="L21" s="2">
        <f>(Table5101332337071[[#This Row],[Total]] * (1 - Table5101332337071[[#This Row],[Discount (%)]]) + Table5101332337071[[#This Row],[ΕΦΚ]]) * (1 + Table5101332337071[[#This Row],[TAX (%)]])</f>
        <v>3.3221999999999996</v>
      </c>
    </row>
    <row r="22" spans="1:12" x14ac:dyDescent="0.3">
      <c r="A22" s="12">
        <v>46122</v>
      </c>
      <c r="B22" s="51">
        <v>37502</v>
      </c>
      <c r="C22" s="3" t="s">
        <v>77</v>
      </c>
      <c r="D22" s="3" t="s">
        <v>225</v>
      </c>
      <c r="E22" s="3" t="s">
        <v>53</v>
      </c>
      <c r="F22" s="3">
        <v>0.7</v>
      </c>
      <c r="G22" s="19">
        <v>7.2</v>
      </c>
      <c r="H22" s="2">
        <f>Table5101332337071[[#This Row],[Quantity]]*Table5101332337071[[#This Row],[Unit Price]]</f>
        <v>5.04</v>
      </c>
      <c r="I22" s="4">
        <v>0.02</v>
      </c>
      <c r="J22" s="3"/>
      <c r="K22" s="4">
        <v>0.13</v>
      </c>
      <c r="L22" s="2">
        <f>(Table5101332337071[[#This Row],[Total]] * (1 - Table5101332337071[[#This Row],[Discount (%)]]) + Table5101332337071[[#This Row],[ΕΦΚ]]) * (1 + Table5101332337071[[#This Row],[TAX (%)]])</f>
        <v>5.5812959999999991</v>
      </c>
    </row>
    <row r="23" spans="1:12" x14ac:dyDescent="0.3">
      <c r="A23" s="12">
        <v>46122</v>
      </c>
      <c r="B23" s="51">
        <v>37502</v>
      </c>
      <c r="C23" s="3" t="s">
        <v>77</v>
      </c>
      <c r="D23" s="3" t="s">
        <v>226</v>
      </c>
      <c r="E23" s="3" t="s">
        <v>53</v>
      </c>
      <c r="F23" s="3">
        <v>1</v>
      </c>
      <c r="G23" s="19">
        <v>1.2</v>
      </c>
      <c r="H23" s="2">
        <f>Table5101332337071[[#This Row],[Quantity]]*Table5101332337071[[#This Row],[Unit Price]]</f>
        <v>1.2</v>
      </c>
      <c r="I23" s="4">
        <v>0.02</v>
      </c>
      <c r="J23" s="3"/>
      <c r="K23" s="4">
        <v>0.13</v>
      </c>
      <c r="L23" s="2">
        <f>(Table5101332337071[[#This Row],[Total]] * (1 - Table5101332337071[[#This Row],[Discount (%)]]) + Table5101332337071[[#This Row],[ΕΦΚ]]) * (1 + Table5101332337071[[#This Row],[TAX (%)]])</f>
        <v>1.3288799999999998</v>
      </c>
    </row>
    <row r="24" spans="1:12" x14ac:dyDescent="0.3">
      <c r="A24" s="12">
        <v>46122</v>
      </c>
      <c r="B24" s="51">
        <v>37502</v>
      </c>
      <c r="C24" s="3" t="s">
        <v>77</v>
      </c>
      <c r="D24" s="3" t="s">
        <v>231</v>
      </c>
      <c r="E24" s="3" t="s">
        <v>53</v>
      </c>
      <c r="F24" s="3">
        <v>1.2</v>
      </c>
      <c r="G24" s="19">
        <v>3.9</v>
      </c>
      <c r="H24" s="2">
        <f>Table5101332337071[[#This Row],[Quantity]]*Table5101332337071[[#This Row],[Unit Price]]</f>
        <v>4.68</v>
      </c>
      <c r="I24" s="4">
        <v>0.02</v>
      </c>
      <c r="J24" s="3"/>
      <c r="K24" s="4">
        <v>0.13</v>
      </c>
      <c r="L24" s="2">
        <f>(Table5101332337071[[#This Row],[Total]] * (1 - Table5101332337071[[#This Row],[Discount (%)]]) + Table5101332337071[[#This Row],[ΕΦΚ]]) * (1 + Table5101332337071[[#This Row],[TAX (%)]])</f>
        <v>5.182631999999999</v>
      </c>
    </row>
    <row r="25" spans="1:12" x14ac:dyDescent="0.3">
      <c r="A25" s="12">
        <v>46122</v>
      </c>
      <c r="B25" s="51">
        <v>37502</v>
      </c>
      <c r="C25" s="3" t="s">
        <v>77</v>
      </c>
      <c r="D25" s="3" t="s">
        <v>253</v>
      </c>
      <c r="E25" s="3" t="s">
        <v>53</v>
      </c>
      <c r="F25" s="3">
        <v>1.5</v>
      </c>
      <c r="G25" s="19">
        <v>0.8</v>
      </c>
      <c r="H25" s="2">
        <f>Table5101332337071[[#This Row],[Quantity]]*Table5101332337071[[#This Row],[Unit Price]]</f>
        <v>1.2000000000000002</v>
      </c>
      <c r="I25" s="4">
        <v>0.02</v>
      </c>
      <c r="J25" s="3"/>
      <c r="K25" s="4">
        <v>0.13</v>
      </c>
      <c r="L25" s="2">
        <f>(Table5101332337071[[#This Row],[Total]] * (1 - Table5101332337071[[#This Row],[Discount (%)]]) + Table5101332337071[[#This Row],[ΕΦΚ]]) * (1 + Table5101332337071[[#This Row],[TAX (%)]])</f>
        <v>1.3288800000000001</v>
      </c>
    </row>
    <row r="26" spans="1:12" x14ac:dyDescent="0.3">
      <c r="A26" s="12">
        <v>46122</v>
      </c>
      <c r="B26" s="51">
        <v>37502</v>
      </c>
      <c r="C26" s="3" t="s">
        <v>77</v>
      </c>
      <c r="D26" s="3" t="s">
        <v>228</v>
      </c>
      <c r="E26" s="3"/>
      <c r="F26" s="3">
        <v>1.2</v>
      </c>
      <c r="G26" s="19">
        <v>1.8</v>
      </c>
      <c r="H26" s="2">
        <f>Table5101332337071[[#This Row],[Quantity]]*Table5101332337071[[#This Row],[Unit Price]]</f>
        <v>2.16</v>
      </c>
      <c r="I26" s="4">
        <v>0.02</v>
      </c>
      <c r="J26" s="3"/>
      <c r="K26" s="4">
        <v>0.13</v>
      </c>
      <c r="L26" s="2">
        <f>(Table5101332337071[[#This Row],[Total]] * (1 - Table5101332337071[[#This Row],[Discount (%)]]) + Table5101332337071[[#This Row],[ΕΦΚ]]) * (1 + Table5101332337071[[#This Row],[TAX (%)]])</f>
        <v>2.3919839999999999</v>
      </c>
    </row>
    <row r="27" spans="1:12" x14ac:dyDescent="0.3">
      <c r="A27" s="12">
        <v>46118</v>
      </c>
      <c r="B27" s="51">
        <v>37377</v>
      </c>
      <c r="C27" s="3" t="s">
        <v>77</v>
      </c>
      <c r="D27" s="3" t="s">
        <v>225</v>
      </c>
      <c r="E27" s="3" t="s">
        <v>53</v>
      </c>
      <c r="F27" s="3">
        <v>0.8</v>
      </c>
      <c r="G27" s="19">
        <v>7.3</v>
      </c>
      <c r="H27" s="2">
        <f>Table5101332337071[[#This Row],[Quantity]]*Table5101332337071[[#This Row],[Unit Price]]</f>
        <v>5.84</v>
      </c>
      <c r="I27" s="4">
        <v>0.02</v>
      </c>
      <c r="J27" s="3"/>
      <c r="K27" s="4">
        <v>0.13</v>
      </c>
      <c r="L27" s="2">
        <f>(Table5101332337071[[#This Row],[Total]] * (1 - Table5101332337071[[#This Row],[Discount (%)]]) + Table5101332337071[[#This Row],[ΕΦΚ]]) * (1 + Table5101332337071[[#This Row],[TAX (%)]])</f>
        <v>6.4672159999999987</v>
      </c>
    </row>
    <row r="28" spans="1:12" x14ac:dyDescent="0.3">
      <c r="A28" s="12">
        <v>46118</v>
      </c>
      <c r="B28" s="51">
        <v>37377</v>
      </c>
      <c r="C28" s="3" t="s">
        <v>77</v>
      </c>
      <c r="D28" s="3" t="s">
        <v>226</v>
      </c>
      <c r="E28" s="3" t="s">
        <v>53</v>
      </c>
      <c r="F28" s="3">
        <v>3</v>
      </c>
      <c r="G28" s="19">
        <v>1.2</v>
      </c>
      <c r="H28" s="2">
        <f>Table5101332337071[[#This Row],[Quantity]]*Table5101332337071[[#This Row],[Unit Price]]</f>
        <v>3.5999999999999996</v>
      </c>
      <c r="I28" s="4">
        <v>0.02</v>
      </c>
      <c r="J28" s="3"/>
      <c r="K28" s="4">
        <v>0.13</v>
      </c>
      <c r="L28" s="2">
        <f>(Table5101332337071[[#This Row],[Total]] * (1 - Table5101332337071[[#This Row],[Discount (%)]]) + Table5101332337071[[#This Row],[ΕΦΚ]]) * (1 + Table5101332337071[[#This Row],[TAX (%)]])</f>
        <v>3.9866399999999991</v>
      </c>
    </row>
    <row r="29" spans="1:12" x14ac:dyDescent="0.3">
      <c r="A29" s="12">
        <v>46118</v>
      </c>
      <c r="B29" s="51">
        <v>37377</v>
      </c>
      <c r="C29" s="3" t="s">
        <v>77</v>
      </c>
      <c r="D29" s="3" t="s">
        <v>241</v>
      </c>
      <c r="E29" s="3" t="s">
        <v>53</v>
      </c>
      <c r="F29" s="3">
        <v>16.399999999999999</v>
      </c>
      <c r="G29" s="19">
        <v>1</v>
      </c>
      <c r="H29" s="2">
        <f>Table5101332337071[[#This Row],[Quantity]]*Table5101332337071[[#This Row],[Unit Price]]</f>
        <v>16.399999999999999</v>
      </c>
      <c r="I29" s="4">
        <v>0.02</v>
      </c>
      <c r="J29" s="3"/>
      <c r="K29" s="4">
        <v>0.13</v>
      </c>
      <c r="L29" s="2">
        <f>(Table5101332337071[[#This Row],[Total]] * (1 - Table5101332337071[[#This Row],[Discount (%)]]) + Table5101332337071[[#This Row],[ΕΦΚ]]) * (1 + Table5101332337071[[#This Row],[TAX (%)]])</f>
        <v>18.161359999999998</v>
      </c>
    </row>
    <row r="30" spans="1:12" x14ac:dyDescent="0.3">
      <c r="A30" s="12">
        <v>46118</v>
      </c>
      <c r="B30" s="51">
        <v>37377</v>
      </c>
      <c r="C30" s="3" t="s">
        <v>77</v>
      </c>
      <c r="D30" s="3" t="s">
        <v>229</v>
      </c>
      <c r="E30" s="3" t="s">
        <v>53</v>
      </c>
      <c r="F30" s="3">
        <v>2.2000000000000002</v>
      </c>
      <c r="G30" s="19">
        <v>2.5</v>
      </c>
      <c r="H30" s="2">
        <f>Table5101332337071[[#This Row],[Quantity]]*Table5101332337071[[#This Row],[Unit Price]]</f>
        <v>5.5</v>
      </c>
      <c r="I30" s="4">
        <v>0.02</v>
      </c>
      <c r="J30" s="3"/>
      <c r="K30" s="4">
        <v>0.13</v>
      </c>
      <c r="L30" s="2">
        <f>(Table5101332337071[[#This Row],[Total]] * (1 - Table5101332337071[[#This Row],[Discount (%)]]) + Table5101332337071[[#This Row],[ΕΦΚ]]) * (1 + Table5101332337071[[#This Row],[TAX (%)]])</f>
        <v>6.0906999999999991</v>
      </c>
    </row>
    <row r="31" spans="1:12" x14ac:dyDescent="0.3">
      <c r="A31" s="12">
        <v>46118</v>
      </c>
      <c r="B31" s="51">
        <v>37377</v>
      </c>
      <c r="C31" s="3" t="s">
        <v>77</v>
      </c>
      <c r="D31" s="3" t="s">
        <v>228</v>
      </c>
      <c r="E31" s="3" t="s">
        <v>53</v>
      </c>
      <c r="F31" s="3">
        <v>2</v>
      </c>
      <c r="G31" s="19">
        <v>1.8</v>
      </c>
      <c r="H31" s="2">
        <f>Table5101332337071[[#This Row],[Quantity]]*Table5101332337071[[#This Row],[Unit Price]]</f>
        <v>3.6</v>
      </c>
      <c r="I31" s="4">
        <v>0.02</v>
      </c>
      <c r="J31" s="3"/>
      <c r="K31" s="4">
        <v>0.13</v>
      </c>
      <c r="L31" s="2">
        <f>(Table5101332337071[[#This Row],[Total]] * (1 - Table5101332337071[[#This Row],[Discount (%)]]) + Table5101332337071[[#This Row],[ΕΦΚ]]) * (1 + Table5101332337071[[#This Row],[TAX (%)]])</f>
        <v>3.9866399999999995</v>
      </c>
    </row>
    <row r="32" spans="1:12" x14ac:dyDescent="0.3">
      <c r="A32" s="12">
        <v>46118</v>
      </c>
      <c r="B32" s="51">
        <v>37377</v>
      </c>
      <c r="C32" s="3" t="s">
        <v>77</v>
      </c>
      <c r="D32" s="3" t="s">
        <v>240</v>
      </c>
      <c r="E32" s="3" t="s">
        <v>53</v>
      </c>
      <c r="F32" s="3">
        <v>2</v>
      </c>
      <c r="G32" s="19">
        <v>2.8</v>
      </c>
      <c r="H32" s="2">
        <f>Table5101332337071[[#This Row],[Quantity]]*Table5101332337071[[#This Row],[Unit Price]]</f>
        <v>5.6</v>
      </c>
      <c r="I32" s="4">
        <v>0.02</v>
      </c>
      <c r="J32" s="3"/>
      <c r="K32" s="4">
        <v>0.13</v>
      </c>
      <c r="L32" s="2">
        <f>(Table5101332337071[[#This Row],[Total]] * (1 - Table5101332337071[[#This Row],[Discount (%)]]) + Table5101332337071[[#This Row],[ΕΦΚ]]) * (1 + Table5101332337071[[#This Row],[TAX (%)]])</f>
        <v>6.201439999999999</v>
      </c>
    </row>
    <row r="33" spans="1:12" x14ac:dyDescent="0.3">
      <c r="A33" s="12">
        <v>46118</v>
      </c>
      <c r="B33" s="51">
        <v>37377</v>
      </c>
      <c r="C33" s="3" t="s">
        <v>77</v>
      </c>
      <c r="D33" s="3" t="s">
        <v>231</v>
      </c>
      <c r="E33" s="3" t="s">
        <v>53</v>
      </c>
      <c r="F33" s="3">
        <v>0.6</v>
      </c>
      <c r="G33" s="19">
        <v>3.9</v>
      </c>
      <c r="H33" s="2">
        <f>Table5101332337071[[#This Row],[Quantity]]*Table5101332337071[[#This Row],[Unit Price]]</f>
        <v>2.34</v>
      </c>
      <c r="I33" s="4">
        <v>0.02</v>
      </c>
      <c r="J33" s="3"/>
      <c r="K33" s="4">
        <v>0.13</v>
      </c>
      <c r="L33" s="2">
        <f>(Table5101332337071[[#This Row],[Total]] * (1 - Table5101332337071[[#This Row],[Discount (%)]]) + Table5101332337071[[#This Row],[ΕΦΚ]]) * (1 + Table5101332337071[[#This Row],[TAX (%)]])</f>
        <v>2.5913159999999995</v>
      </c>
    </row>
    <row r="34" spans="1:12" x14ac:dyDescent="0.3">
      <c r="A34" s="12">
        <v>46114</v>
      </c>
      <c r="B34" s="51">
        <v>37310</v>
      </c>
      <c r="C34" s="3" t="s">
        <v>77</v>
      </c>
      <c r="D34" s="3" t="s">
        <v>241</v>
      </c>
      <c r="E34" s="3" t="s">
        <v>53</v>
      </c>
      <c r="F34" s="3">
        <v>16.7</v>
      </c>
      <c r="G34" s="19">
        <v>1</v>
      </c>
      <c r="H34" s="2">
        <f>Table5101332337071[[#This Row],[Quantity]]*Table5101332337071[[#This Row],[Unit Price]]</f>
        <v>16.7</v>
      </c>
      <c r="I34" s="4">
        <v>0.02</v>
      </c>
      <c r="J34" s="3"/>
      <c r="K34" s="4">
        <v>0.13</v>
      </c>
      <c r="L34" s="2">
        <f>(Table5101332337071[[#This Row],[Total]] * (1 - Table5101332337071[[#This Row],[Discount (%)]]) + Table5101332337071[[#This Row],[ΕΦΚ]]) * (1 + Table5101332337071[[#This Row],[TAX (%)]])</f>
        <v>18.493579999999998</v>
      </c>
    </row>
    <row r="35" spans="1:12" x14ac:dyDescent="0.3">
      <c r="A35" s="12">
        <v>46114</v>
      </c>
      <c r="B35" s="51">
        <v>37310</v>
      </c>
      <c r="C35" s="3" t="s">
        <v>77</v>
      </c>
      <c r="D35" s="3" t="s">
        <v>237</v>
      </c>
      <c r="E35" s="3" t="s">
        <v>53</v>
      </c>
      <c r="F35" s="3">
        <v>3.2</v>
      </c>
      <c r="G35" s="19">
        <v>2.95</v>
      </c>
      <c r="H35" s="2">
        <f>Table5101332337071[[#This Row],[Quantity]]*Table5101332337071[[#This Row],[Unit Price]]</f>
        <v>9.4400000000000013</v>
      </c>
      <c r="I35" s="4">
        <v>0.02</v>
      </c>
      <c r="J35" s="3"/>
      <c r="K35" s="4">
        <v>0.13</v>
      </c>
      <c r="L35" s="2">
        <f>(Table5101332337071[[#This Row],[Total]] * (1 - Table5101332337071[[#This Row],[Discount (%)]]) + Table5101332337071[[#This Row],[ΕΦΚ]]) * (1 + Table5101332337071[[#This Row],[TAX (%)]])</f>
        <v>10.453856</v>
      </c>
    </row>
    <row r="36" spans="1:12" x14ac:dyDescent="0.3">
      <c r="A36" s="12">
        <v>46114</v>
      </c>
      <c r="B36" s="51">
        <v>37310</v>
      </c>
      <c r="C36" s="3" t="s">
        <v>77</v>
      </c>
      <c r="D36" s="3" t="s">
        <v>230</v>
      </c>
      <c r="E36" s="3" t="s">
        <v>53</v>
      </c>
      <c r="F36" s="3">
        <v>5.4</v>
      </c>
      <c r="G36" s="19">
        <v>1.6</v>
      </c>
      <c r="H36" s="2">
        <f>Table5101332337071[[#This Row],[Quantity]]*Table5101332337071[[#This Row],[Unit Price]]</f>
        <v>8.64</v>
      </c>
      <c r="I36" s="4">
        <v>0.02</v>
      </c>
      <c r="J36" s="3"/>
      <c r="K36" s="4">
        <v>0.13</v>
      </c>
      <c r="L36" s="2">
        <f>(Table5101332337071[[#This Row],[Total]] * (1 - Table5101332337071[[#This Row],[Discount (%)]]) + Table5101332337071[[#This Row],[ΕΦΚ]]) * (1 + Table5101332337071[[#This Row],[TAX (%)]])</f>
        <v>9.5679359999999996</v>
      </c>
    </row>
    <row r="37" spans="1:12" x14ac:dyDescent="0.3">
      <c r="A37" s="12">
        <v>46112</v>
      </c>
      <c r="B37" s="51">
        <v>37275</v>
      </c>
      <c r="C37" s="3" t="s">
        <v>77</v>
      </c>
      <c r="D37" s="3" t="s">
        <v>223</v>
      </c>
      <c r="E37" s="3" t="s">
        <v>53</v>
      </c>
      <c r="F37" s="3">
        <v>14.5</v>
      </c>
      <c r="G37" s="19">
        <v>0.9</v>
      </c>
      <c r="H37" s="2">
        <f>Table5101332337071[[#This Row],[Quantity]]*Table5101332337071[[#This Row],[Unit Price]]</f>
        <v>13.05</v>
      </c>
      <c r="I37" s="4">
        <v>0.02</v>
      </c>
      <c r="J37" s="3"/>
      <c r="K37" s="4">
        <v>0.13</v>
      </c>
      <c r="L37" s="2">
        <f>(Table5101332337071[[#This Row],[Total]] * (1 - Table5101332337071[[#This Row],[Discount (%)]]) + Table5101332337071[[#This Row],[ΕΦΚ]]) * (1 + Table5101332337071[[#This Row],[TAX (%)]])</f>
        <v>14.451569999999998</v>
      </c>
    </row>
    <row r="38" spans="1:12" x14ac:dyDescent="0.3">
      <c r="A38" s="12">
        <v>46112</v>
      </c>
      <c r="B38" s="51">
        <v>37275</v>
      </c>
      <c r="C38" s="3" t="s">
        <v>77</v>
      </c>
      <c r="D38" s="3" t="s">
        <v>242</v>
      </c>
      <c r="E38" s="3" t="s">
        <v>53</v>
      </c>
      <c r="F38" s="3">
        <v>5</v>
      </c>
      <c r="G38" s="19">
        <v>0.8</v>
      </c>
      <c r="H38" s="2">
        <f>Table5101332337071[[#This Row],[Quantity]]*Table5101332337071[[#This Row],[Unit Price]]</f>
        <v>4</v>
      </c>
      <c r="I38" s="4">
        <v>0.02</v>
      </c>
      <c r="J38" s="3"/>
      <c r="K38" s="4">
        <v>0.13</v>
      </c>
      <c r="L38" s="2">
        <f>(Table5101332337071[[#This Row],[Total]] * (1 - Table5101332337071[[#This Row],[Discount (%)]]) + Table5101332337071[[#This Row],[ΕΦΚ]]) * (1 + Table5101332337071[[#This Row],[TAX (%)]])</f>
        <v>4.4295999999999998</v>
      </c>
    </row>
    <row r="39" spans="1:12" x14ac:dyDescent="0.3">
      <c r="A39" s="12">
        <v>46112</v>
      </c>
      <c r="B39" s="51">
        <v>37275</v>
      </c>
      <c r="C39" s="3" t="s">
        <v>77</v>
      </c>
      <c r="D39" s="3" t="s">
        <v>226</v>
      </c>
      <c r="E39" s="3" t="s">
        <v>53</v>
      </c>
      <c r="F39" s="3">
        <v>4</v>
      </c>
      <c r="G39" s="19">
        <v>1.2</v>
      </c>
      <c r="H39" s="2">
        <f>Table5101332337071[[#This Row],[Quantity]]*Table5101332337071[[#This Row],[Unit Price]]</f>
        <v>4.8</v>
      </c>
      <c r="I39" s="4">
        <v>0.02</v>
      </c>
      <c r="J39" s="3"/>
      <c r="K39" s="4">
        <v>0.13</v>
      </c>
      <c r="L39" s="2">
        <f>(Table5101332337071[[#This Row],[Total]] * (1 - Table5101332337071[[#This Row],[Discount (%)]]) + Table5101332337071[[#This Row],[ΕΦΚ]]) * (1 + Table5101332337071[[#This Row],[TAX (%)]])</f>
        <v>5.3155199999999994</v>
      </c>
    </row>
    <row r="40" spans="1:12" x14ac:dyDescent="0.3">
      <c r="A40" s="12">
        <v>46112</v>
      </c>
      <c r="B40" s="51">
        <v>37275</v>
      </c>
      <c r="C40" s="3" t="s">
        <v>77</v>
      </c>
      <c r="D40" s="3" t="s">
        <v>240</v>
      </c>
      <c r="E40" s="3" t="s">
        <v>53</v>
      </c>
      <c r="F40" s="3">
        <v>1.4</v>
      </c>
      <c r="G40" s="19">
        <v>2.8</v>
      </c>
      <c r="H40" s="2">
        <f>Table5101332337071[[#This Row],[Quantity]]*Table5101332337071[[#This Row],[Unit Price]]</f>
        <v>3.9199999999999995</v>
      </c>
      <c r="I40" s="4">
        <v>0.02</v>
      </c>
      <c r="J40" s="3"/>
      <c r="K40" s="4">
        <v>0.13</v>
      </c>
      <c r="L40" s="2">
        <f>(Table5101332337071[[#This Row],[Total]] * (1 - Table5101332337071[[#This Row],[Discount (%)]]) + Table5101332337071[[#This Row],[ΕΦΚ]]) * (1 + Table5101332337071[[#This Row],[TAX (%)]])</f>
        <v>4.3410079999999986</v>
      </c>
    </row>
    <row r="41" spans="1:12" x14ac:dyDescent="0.3">
      <c r="A41" s="12">
        <v>46112</v>
      </c>
      <c r="B41" s="51">
        <v>37275</v>
      </c>
      <c r="C41" s="3" t="s">
        <v>77</v>
      </c>
      <c r="D41" s="3" t="s">
        <v>229</v>
      </c>
      <c r="E41" s="3" t="s">
        <v>53</v>
      </c>
      <c r="F41" s="3">
        <v>1.2</v>
      </c>
      <c r="G41" s="19">
        <v>2.5</v>
      </c>
      <c r="H41" s="2">
        <f>Table5101332337071[[#This Row],[Quantity]]*Table5101332337071[[#This Row],[Unit Price]]</f>
        <v>3</v>
      </c>
      <c r="I41" s="4">
        <v>0.02</v>
      </c>
      <c r="J41" s="3"/>
      <c r="K41" s="4">
        <v>0.13</v>
      </c>
      <c r="L41" s="2">
        <f>(Table5101332337071[[#This Row],[Total]] * (1 - Table5101332337071[[#This Row],[Discount (%)]]) + Table5101332337071[[#This Row],[ΕΦΚ]]) * (1 + Table5101332337071[[#This Row],[TAX (%)]])</f>
        <v>3.3221999999999996</v>
      </c>
    </row>
    <row r="42" spans="1:12" x14ac:dyDescent="0.3">
      <c r="A42" s="12">
        <v>46108</v>
      </c>
      <c r="B42" s="51">
        <v>37216</v>
      </c>
      <c r="C42" s="3" t="s">
        <v>77</v>
      </c>
      <c r="D42" s="3" t="s">
        <v>253</v>
      </c>
      <c r="E42" s="3" t="s">
        <v>53</v>
      </c>
      <c r="F42" s="3">
        <v>1</v>
      </c>
      <c r="G42" s="19">
        <v>0.8</v>
      </c>
      <c r="H42" s="2">
        <f>Table5101332337071[[#This Row],[Quantity]]*Table5101332337071[[#This Row],[Unit Price]]</f>
        <v>0.8</v>
      </c>
      <c r="I42" s="4">
        <v>0.02</v>
      </c>
      <c r="J42" s="3"/>
      <c r="K42" s="4">
        <v>0.13</v>
      </c>
      <c r="L42" s="2">
        <f>(Table5101332337071[[#This Row],[Total]] * (1 - Table5101332337071[[#This Row],[Discount (%)]]) + Table5101332337071[[#This Row],[ΕΦΚ]]) * (1 + Table5101332337071[[#This Row],[TAX (%)]])</f>
        <v>0.88591999999999993</v>
      </c>
    </row>
    <row r="43" spans="1:12" x14ac:dyDescent="0.3">
      <c r="A43" s="12">
        <v>46108</v>
      </c>
      <c r="B43" s="51">
        <v>37216</v>
      </c>
      <c r="C43" s="3" t="s">
        <v>77</v>
      </c>
      <c r="D43" s="3" t="s">
        <v>237</v>
      </c>
      <c r="E43" s="3" t="s">
        <v>53</v>
      </c>
      <c r="F43" s="3">
        <v>2</v>
      </c>
      <c r="G43" s="19">
        <v>2.95</v>
      </c>
      <c r="H43" s="2">
        <f>Table5101332337071[[#This Row],[Quantity]]*Table5101332337071[[#This Row],[Unit Price]]</f>
        <v>5.9</v>
      </c>
      <c r="I43" s="4">
        <v>0.02</v>
      </c>
      <c r="J43" s="3"/>
      <c r="K43" s="4">
        <v>0.13</v>
      </c>
      <c r="L43" s="2">
        <f>(Table5101332337071[[#This Row],[Total]] * (1 - Table5101332337071[[#This Row],[Discount (%)]]) + Table5101332337071[[#This Row],[ΕΦΚ]]) * (1 + Table5101332337071[[#This Row],[TAX (%)]])</f>
        <v>6.5336599999999994</v>
      </c>
    </row>
    <row r="44" spans="1:12" x14ac:dyDescent="0.3">
      <c r="A44" s="12">
        <v>46108</v>
      </c>
      <c r="B44" s="51">
        <v>37216</v>
      </c>
      <c r="C44" s="3" t="s">
        <v>77</v>
      </c>
      <c r="D44" s="3" t="s">
        <v>238</v>
      </c>
      <c r="E44" s="3" t="s">
        <v>53</v>
      </c>
      <c r="F44" s="3">
        <v>1.2</v>
      </c>
      <c r="G44" s="19">
        <v>4.5999999999999996</v>
      </c>
      <c r="H44" s="2">
        <f>Table5101332337071[[#This Row],[Quantity]]*Table5101332337071[[#This Row],[Unit Price]]</f>
        <v>5.52</v>
      </c>
      <c r="I44" s="4">
        <v>0.02</v>
      </c>
      <c r="J44" s="3"/>
      <c r="K44" s="4">
        <v>0.13</v>
      </c>
      <c r="L44" s="2">
        <f>(Table5101332337071[[#This Row],[Total]] * (1 - Table5101332337071[[#This Row],[Discount (%)]]) + Table5101332337071[[#This Row],[ΕΦΚ]]) * (1 + Table5101332337071[[#This Row],[TAX (%)]])</f>
        <v>6.1128479999999987</v>
      </c>
    </row>
    <row r="45" spans="1:12" x14ac:dyDescent="0.3">
      <c r="A45" s="12">
        <v>46108</v>
      </c>
      <c r="B45" s="51">
        <v>37216</v>
      </c>
      <c r="C45" s="3" t="s">
        <v>77</v>
      </c>
      <c r="D45" s="3" t="s">
        <v>228</v>
      </c>
      <c r="E45" s="3" t="s">
        <v>53</v>
      </c>
      <c r="F45" s="3">
        <v>1.2</v>
      </c>
      <c r="G45" s="19">
        <v>1.85</v>
      </c>
      <c r="H45" s="2">
        <f>Table5101332337071[[#This Row],[Quantity]]*Table5101332337071[[#This Row],[Unit Price]]</f>
        <v>2.2200000000000002</v>
      </c>
      <c r="I45" s="4">
        <v>0.02</v>
      </c>
      <c r="J45" s="3"/>
      <c r="K45" s="4">
        <v>0.13</v>
      </c>
      <c r="L45" s="2">
        <f>(Table5101332337071[[#This Row],[Total]] * (1 - Table5101332337071[[#This Row],[Discount (%)]]) + Table5101332337071[[#This Row],[ΕΦΚ]]) * (1 + Table5101332337071[[#This Row],[TAX (%)]])</f>
        <v>2.4584280000000001</v>
      </c>
    </row>
    <row r="46" spans="1:12" x14ac:dyDescent="0.3">
      <c r="A46" s="12">
        <v>46108</v>
      </c>
      <c r="B46" s="51">
        <v>37216</v>
      </c>
      <c r="C46" s="3" t="s">
        <v>77</v>
      </c>
      <c r="D46" s="3" t="s">
        <v>225</v>
      </c>
      <c r="E46" s="3" t="s">
        <v>53</v>
      </c>
      <c r="F46" s="3">
        <v>0.7</v>
      </c>
      <c r="G46" s="19">
        <v>6.9</v>
      </c>
      <c r="H46" s="2">
        <f>Table5101332337071[[#This Row],[Quantity]]*Table5101332337071[[#This Row],[Unit Price]]</f>
        <v>4.83</v>
      </c>
      <c r="I46" s="4">
        <v>0.02</v>
      </c>
      <c r="J46" s="3"/>
      <c r="K46" s="4">
        <v>0.13</v>
      </c>
      <c r="L46" s="2">
        <f>(Table5101332337071[[#This Row],[Total]] * (1 - Table5101332337071[[#This Row],[Discount (%)]]) + Table5101332337071[[#This Row],[ΕΦΚ]]) * (1 + Table5101332337071[[#This Row],[TAX (%)]])</f>
        <v>5.3487419999999988</v>
      </c>
    </row>
    <row r="47" spans="1:12" x14ac:dyDescent="0.3">
      <c r="A47" s="12">
        <v>46108</v>
      </c>
      <c r="B47" s="51">
        <v>37216</v>
      </c>
      <c r="C47" s="3" t="s">
        <v>77</v>
      </c>
      <c r="D47" s="3" t="s">
        <v>230</v>
      </c>
      <c r="E47" s="3" t="s">
        <v>53</v>
      </c>
      <c r="F47" s="3">
        <v>1.4</v>
      </c>
      <c r="G47" s="19">
        <v>1.6</v>
      </c>
      <c r="H47" s="2">
        <f>Table5101332337071[[#This Row],[Quantity]]*Table5101332337071[[#This Row],[Unit Price]]</f>
        <v>2.2399999999999998</v>
      </c>
      <c r="I47" s="4">
        <v>0.02</v>
      </c>
      <c r="J47" s="3"/>
      <c r="K47" s="4">
        <v>0.13</v>
      </c>
      <c r="L47" s="2">
        <f>(Table5101332337071[[#This Row],[Total]] * (1 - Table5101332337071[[#This Row],[Discount (%)]]) + Table5101332337071[[#This Row],[ΕΦΚ]]) * (1 + Table5101332337071[[#This Row],[TAX (%)]])</f>
        <v>2.4805759999999997</v>
      </c>
    </row>
    <row r="48" spans="1:12" x14ac:dyDescent="0.3">
      <c r="A48" s="12">
        <v>46101</v>
      </c>
      <c r="B48" s="51">
        <v>37125</v>
      </c>
      <c r="C48" s="3" t="s">
        <v>77</v>
      </c>
      <c r="D48" s="3" t="s">
        <v>241</v>
      </c>
      <c r="E48" s="3" t="s">
        <v>53</v>
      </c>
      <c r="F48" s="3">
        <v>31</v>
      </c>
      <c r="G48" s="19">
        <v>0.9</v>
      </c>
      <c r="H48" s="2">
        <f>Table5101332337071[[#This Row],[Quantity]]*Table5101332337071[[#This Row],[Unit Price]]</f>
        <v>27.900000000000002</v>
      </c>
      <c r="I48" s="4">
        <v>0.02</v>
      </c>
      <c r="J48" s="3"/>
      <c r="K48" s="4">
        <v>0.13</v>
      </c>
      <c r="L48" s="2">
        <f>(Table5101332337071[[#This Row],[Total]] * (1 - Table5101332337071[[#This Row],[Discount (%)]]) + Table5101332337071[[#This Row],[ΕΦΚ]]) * (1 + Table5101332337071[[#This Row],[TAX (%)]])</f>
        <v>30.896460000000001</v>
      </c>
    </row>
    <row r="49" spans="1:12" x14ac:dyDescent="0.3">
      <c r="A49" s="12">
        <v>46101</v>
      </c>
      <c r="B49" s="51">
        <v>37125</v>
      </c>
      <c r="C49" s="3" t="s">
        <v>77</v>
      </c>
      <c r="D49" s="3" t="s">
        <v>228</v>
      </c>
      <c r="E49" s="3" t="s">
        <v>53</v>
      </c>
      <c r="F49" s="3">
        <v>1.2</v>
      </c>
      <c r="G49" s="19">
        <v>1.85</v>
      </c>
      <c r="H49" s="2">
        <f>Table5101332337071[[#This Row],[Quantity]]*Table5101332337071[[#This Row],[Unit Price]]</f>
        <v>2.2200000000000002</v>
      </c>
      <c r="I49" s="4">
        <v>0.02</v>
      </c>
      <c r="J49" s="3"/>
      <c r="K49" s="4">
        <v>0.13</v>
      </c>
      <c r="L49" s="2">
        <f>(Table5101332337071[[#This Row],[Total]] * (1 - Table5101332337071[[#This Row],[Discount (%)]]) + Table5101332337071[[#This Row],[ΕΦΚ]]) * (1 + Table5101332337071[[#This Row],[TAX (%)]])</f>
        <v>2.4584280000000001</v>
      </c>
    </row>
    <row r="50" spans="1:12" x14ac:dyDescent="0.3">
      <c r="A50" s="12">
        <v>46101</v>
      </c>
      <c r="B50" s="51">
        <v>37125</v>
      </c>
      <c r="C50" s="3" t="s">
        <v>77</v>
      </c>
      <c r="D50" s="3" t="s">
        <v>226</v>
      </c>
      <c r="E50" s="3" t="s">
        <v>53</v>
      </c>
      <c r="F50" s="3">
        <v>3</v>
      </c>
      <c r="G50" s="19">
        <v>1.2</v>
      </c>
      <c r="H50" s="2">
        <f>Table5101332337071[[#This Row],[Quantity]]*Table5101332337071[[#This Row],[Unit Price]]</f>
        <v>3.5999999999999996</v>
      </c>
      <c r="I50" s="4">
        <v>0.02</v>
      </c>
      <c r="J50" s="3"/>
      <c r="K50" s="4">
        <v>0.13</v>
      </c>
      <c r="L50" s="2">
        <f>(Table5101332337071[[#This Row],[Total]] * (1 - Table5101332337071[[#This Row],[Discount (%)]]) + Table5101332337071[[#This Row],[ΕΦΚ]]) * (1 + Table5101332337071[[#This Row],[TAX (%)]])</f>
        <v>3.9866399999999991</v>
      </c>
    </row>
    <row r="51" spans="1:12" x14ac:dyDescent="0.3">
      <c r="A51" s="12">
        <v>46101</v>
      </c>
      <c r="B51" s="51">
        <v>37125</v>
      </c>
      <c r="C51" s="3" t="s">
        <v>77</v>
      </c>
      <c r="D51" s="3" t="s">
        <v>243</v>
      </c>
      <c r="E51" s="3" t="s">
        <v>53</v>
      </c>
      <c r="F51" s="3">
        <v>2</v>
      </c>
      <c r="G51" s="19">
        <v>2.4</v>
      </c>
      <c r="H51" s="2">
        <f>Table5101332337071[[#This Row],[Quantity]]*Table5101332337071[[#This Row],[Unit Price]]</f>
        <v>4.8</v>
      </c>
      <c r="I51" s="4">
        <v>0.02</v>
      </c>
      <c r="J51" s="3"/>
      <c r="K51" s="4">
        <v>0.13</v>
      </c>
      <c r="L51" s="2">
        <f>(Table5101332337071[[#This Row],[Total]] * (1 - Table5101332337071[[#This Row],[Discount (%)]]) + Table5101332337071[[#This Row],[ΕΦΚ]]) * (1 + Table5101332337071[[#This Row],[TAX (%)]])</f>
        <v>5.3155199999999994</v>
      </c>
    </row>
    <row r="52" spans="1:12" x14ac:dyDescent="0.3">
      <c r="A52" s="12">
        <v>46101</v>
      </c>
      <c r="B52" s="51">
        <v>37125</v>
      </c>
      <c r="C52" s="3" t="s">
        <v>77</v>
      </c>
      <c r="D52" s="3" t="s">
        <v>225</v>
      </c>
      <c r="E52" s="3" t="s">
        <v>53</v>
      </c>
      <c r="F52" s="3">
        <v>0.5</v>
      </c>
      <c r="G52" s="19">
        <v>7.3</v>
      </c>
      <c r="H52" s="2">
        <f>Table5101332337071[[#This Row],[Quantity]]*Table5101332337071[[#This Row],[Unit Price]]</f>
        <v>3.65</v>
      </c>
      <c r="I52" s="4">
        <v>0.02</v>
      </c>
      <c r="J52" s="3"/>
      <c r="K52" s="4">
        <v>0.13</v>
      </c>
      <c r="L52" s="2">
        <f>(Table5101332337071[[#This Row],[Total]] * (1 - Table5101332337071[[#This Row],[Discount (%)]]) + Table5101332337071[[#This Row],[ΕΦΚ]]) * (1 + Table5101332337071[[#This Row],[TAX (%)]])</f>
        <v>4.0420099999999994</v>
      </c>
    </row>
    <row r="53" spans="1:12" x14ac:dyDescent="0.3">
      <c r="A53" s="12">
        <v>46098</v>
      </c>
      <c r="B53" s="51">
        <v>37079</v>
      </c>
      <c r="C53" s="3" t="s">
        <v>77</v>
      </c>
      <c r="D53" s="3" t="s">
        <v>239</v>
      </c>
      <c r="E53" s="3" t="s">
        <v>53</v>
      </c>
      <c r="F53" s="3">
        <v>14</v>
      </c>
      <c r="G53" s="19">
        <v>0.8</v>
      </c>
      <c r="H53" s="2">
        <f>Table5101332337071[[#This Row],[Quantity]]*Table5101332337071[[#This Row],[Unit Price]]</f>
        <v>11.200000000000001</v>
      </c>
      <c r="I53" s="4">
        <v>0.02</v>
      </c>
      <c r="J53" s="3"/>
      <c r="K53" s="4">
        <v>0.13</v>
      </c>
      <c r="L53" s="2">
        <f>(Table5101332337071[[#This Row],[Total]] * (1 - Table5101332337071[[#This Row],[Discount (%)]]) + Table5101332337071[[#This Row],[ΕΦΚ]]) * (1 + Table5101332337071[[#This Row],[TAX (%)]])</f>
        <v>12.40288</v>
      </c>
    </row>
    <row r="54" spans="1:12" x14ac:dyDescent="0.3">
      <c r="A54" s="12">
        <v>46098</v>
      </c>
      <c r="B54" s="51">
        <v>37079</v>
      </c>
      <c r="C54" s="3" t="s">
        <v>77</v>
      </c>
      <c r="D54" s="3" t="s">
        <v>228</v>
      </c>
      <c r="E54" s="3" t="s">
        <v>53</v>
      </c>
      <c r="F54" s="3">
        <v>1</v>
      </c>
      <c r="G54" s="19">
        <v>1.85</v>
      </c>
      <c r="H54" s="2">
        <f>Table5101332337071[[#This Row],[Quantity]]*Table5101332337071[[#This Row],[Unit Price]]</f>
        <v>1.85</v>
      </c>
      <c r="I54" s="4">
        <v>0.02</v>
      </c>
      <c r="J54" s="3"/>
      <c r="K54" s="4">
        <v>0.13</v>
      </c>
      <c r="L54" s="2">
        <f>(Table5101332337071[[#This Row],[Total]] * (1 - Table5101332337071[[#This Row],[Discount (%)]]) + Table5101332337071[[#This Row],[ΕΦΚ]]) * (1 + Table5101332337071[[#This Row],[TAX (%)]])</f>
        <v>2.0486899999999997</v>
      </c>
    </row>
    <row r="55" spans="1:12" x14ac:dyDescent="0.3">
      <c r="A55" s="12">
        <v>46098</v>
      </c>
      <c r="B55" s="51">
        <v>37079</v>
      </c>
      <c r="C55" s="3" t="s">
        <v>77</v>
      </c>
      <c r="D55" s="3" t="s">
        <v>229</v>
      </c>
      <c r="E55" s="3" t="s">
        <v>53</v>
      </c>
      <c r="F55" s="3">
        <v>1.2</v>
      </c>
      <c r="G55" s="19">
        <v>2.5</v>
      </c>
      <c r="H55" s="2">
        <f>Table5101332337071[[#This Row],[Quantity]]*Table5101332337071[[#This Row],[Unit Price]]</f>
        <v>3</v>
      </c>
      <c r="I55" s="4">
        <v>0.02</v>
      </c>
      <c r="J55" s="3"/>
      <c r="K55" s="4">
        <v>0.13</v>
      </c>
      <c r="L55" s="2">
        <f>(Table5101332337071[[#This Row],[Total]] * (1 - Table5101332337071[[#This Row],[Discount (%)]]) + Table5101332337071[[#This Row],[ΕΦΚ]]) * (1 + Table5101332337071[[#This Row],[TAX (%)]])</f>
        <v>3.3221999999999996</v>
      </c>
    </row>
    <row r="56" spans="1:12" x14ac:dyDescent="0.3">
      <c r="A56" s="12">
        <v>46098</v>
      </c>
      <c r="B56" s="51">
        <v>37079</v>
      </c>
      <c r="C56" s="3" t="s">
        <v>77</v>
      </c>
      <c r="D56" s="3" t="s">
        <v>240</v>
      </c>
      <c r="E56" s="3" t="s">
        <v>53</v>
      </c>
      <c r="F56" s="3">
        <v>1.5</v>
      </c>
      <c r="G56" s="19">
        <v>2.8</v>
      </c>
      <c r="H56" s="2">
        <f>Table5101332337071[[#This Row],[Quantity]]*Table5101332337071[[#This Row],[Unit Price]]</f>
        <v>4.1999999999999993</v>
      </c>
      <c r="I56" s="4">
        <v>0.02</v>
      </c>
      <c r="J56" s="3"/>
      <c r="K56" s="4">
        <v>0.13</v>
      </c>
      <c r="L56" s="2">
        <f>(Table5101332337071[[#This Row],[Total]] * (1 - Table5101332337071[[#This Row],[Discount (%)]]) + Table5101332337071[[#This Row],[ΕΦΚ]]) * (1 + Table5101332337071[[#This Row],[TAX (%)]])</f>
        <v>4.6510799999999994</v>
      </c>
    </row>
    <row r="57" spans="1:12" x14ac:dyDescent="0.3">
      <c r="A57" s="12">
        <v>46098</v>
      </c>
      <c r="B57" s="51">
        <v>37079</v>
      </c>
      <c r="C57" s="3" t="s">
        <v>77</v>
      </c>
      <c r="D57" s="3" t="s">
        <v>237</v>
      </c>
      <c r="E57" s="3" t="s">
        <v>53</v>
      </c>
      <c r="F57" s="3">
        <v>1</v>
      </c>
      <c r="G57" s="19">
        <v>2.2999999999999998</v>
      </c>
      <c r="H57" s="2">
        <f>Table5101332337071[[#This Row],[Quantity]]*Table5101332337071[[#This Row],[Unit Price]]</f>
        <v>2.2999999999999998</v>
      </c>
      <c r="I57" s="4">
        <v>0.02</v>
      </c>
      <c r="J57" s="3"/>
      <c r="K57" s="4">
        <v>0.13</v>
      </c>
      <c r="L57" s="2">
        <f>(Table5101332337071[[#This Row],[Total]] * (1 - Table5101332337071[[#This Row],[Discount (%)]]) + Table5101332337071[[#This Row],[ΕΦΚ]]) * (1 + Table5101332337071[[#This Row],[TAX (%)]])</f>
        <v>2.5470199999999998</v>
      </c>
    </row>
    <row r="58" spans="1:12" x14ac:dyDescent="0.3">
      <c r="A58" s="12">
        <v>46098</v>
      </c>
      <c r="B58" s="51">
        <v>37079</v>
      </c>
      <c r="C58" s="3" t="s">
        <v>77</v>
      </c>
      <c r="D58" s="3" t="s">
        <v>238</v>
      </c>
      <c r="E58" s="3" t="s">
        <v>53</v>
      </c>
      <c r="F58" s="3">
        <v>1.2</v>
      </c>
      <c r="G58" s="19">
        <v>4.9000000000000004</v>
      </c>
      <c r="H58" s="2">
        <f>Table5101332337071[[#This Row],[Quantity]]*Table5101332337071[[#This Row],[Unit Price]]</f>
        <v>5.88</v>
      </c>
      <c r="I58" s="4">
        <v>0.02</v>
      </c>
      <c r="J58" s="3"/>
      <c r="K58" s="4">
        <v>0.13</v>
      </c>
      <c r="L58" s="2">
        <f>(Table5101332337071[[#This Row],[Total]] * (1 - Table5101332337071[[#This Row],[Discount (%)]]) + Table5101332337071[[#This Row],[ΕΦΚ]]) * (1 + Table5101332337071[[#This Row],[TAX (%)]])</f>
        <v>6.5115119999999989</v>
      </c>
    </row>
    <row r="59" spans="1:12" x14ac:dyDescent="0.3">
      <c r="A59" s="12">
        <v>46098</v>
      </c>
      <c r="B59" s="51">
        <v>37079</v>
      </c>
      <c r="C59" s="3" t="s">
        <v>77</v>
      </c>
      <c r="D59" s="3" t="s">
        <v>230</v>
      </c>
      <c r="E59" s="3" t="s">
        <v>53</v>
      </c>
      <c r="F59" s="3">
        <v>1.6</v>
      </c>
      <c r="G59" s="19">
        <v>1.6</v>
      </c>
      <c r="H59" s="2">
        <f>Table5101332337071[[#This Row],[Quantity]]*Table5101332337071[[#This Row],[Unit Price]]</f>
        <v>2.5600000000000005</v>
      </c>
      <c r="I59" s="4">
        <v>0.02</v>
      </c>
      <c r="J59" s="3"/>
      <c r="K59" s="4">
        <v>0.13</v>
      </c>
      <c r="L59" s="2">
        <f>(Table5101332337071[[#This Row],[Total]] * (1 - Table5101332337071[[#This Row],[Discount (%)]]) + Table5101332337071[[#This Row],[ΕΦΚ]]) * (1 + Table5101332337071[[#This Row],[TAX (%)]])</f>
        <v>2.8349440000000001</v>
      </c>
    </row>
    <row r="60" spans="1:12" x14ac:dyDescent="0.3">
      <c r="A60" s="12">
        <v>46098</v>
      </c>
      <c r="B60" s="51">
        <v>37079</v>
      </c>
      <c r="C60" s="3" t="s">
        <v>77</v>
      </c>
      <c r="D60" s="3" t="s">
        <v>242</v>
      </c>
      <c r="E60" s="3" t="s">
        <v>53</v>
      </c>
      <c r="F60" s="3">
        <v>6</v>
      </c>
      <c r="G60" s="19">
        <v>0.7</v>
      </c>
      <c r="H60" s="2">
        <f>Table5101332337071[[#This Row],[Quantity]]*Table5101332337071[[#This Row],[Unit Price]]</f>
        <v>4.1999999999999993</v>
      </c>
      <c r="I60" s="4">
        <v>0.02</v>
      </c>
      <c r="J60" s="3"/>
      <c r="K60" s="4">
        <v>0.13</v>
      </c>
      <c r="L60" s="2">
        <f>(Table5101332337071[[#This Row],[Total]] * (1 - Table5101332337071[[#This Row],[Discount (%)]]) + Table5101332337071[[#This Row],[ΕΦΚ]]) * (1 + Table5101332337071[[#This Row],[TAX (%)]])</f>
        <v>4.6510799999999994</v>
      </c>
    </row>
    <row r="61" spans="1:12" x14ac:dyDescent="0.3">
      <c r="A61" s="12">
        <v>46085</v>
      </c>
      <c r="B61" s="51">
        <v>36899</v>
      </c>
      <c r="C61" s="3" t="s">
        <v>77</v>
      </c>
      <c r="D61" s="3" t="s">
        <v>239</v>
      </c>
      <c r="E61" s="3" t="s">
        <v>53</v>
      </c>
      <c r="F61" s="3">
        <v>15.6</v>
      </c>
      <c r="G61" s="19">
        <v>0.9</v>
      </c>
      <c r="H61" s="2">
        <f>Table5101332337071[[#This Row],[Quantity]]*Table5101332337071[[#This Row],[Unit Price]]</f>
        <v>14.04</v>
      </c>
      <c r="I61" s="4">
        <v>0.02</v>
      </c>
      <c r="J61" s="3"/>
      <c r="K61" s="4">
        <v>0.13</v>
      </c>
      <c r="L61" s="2">
        <f>(Table5101332337071[[#This Row],[Total]] * (1 - Table5101332337071[[#This Row],[Discount (%)]]) + Table5101332337071[[#This Row],[ΕΦΚ]]) * (1 + Table5101332337071[[#This Row],[TAX (%)]])</f>
        <v>15.547895999999996</v>
      </c>
    </row>
    <row r="62" spans="1:12" x14ac:dyDescent="0.3">
      <c r="A62" s="12">
        <v>46077</v>
      </c>
      <c r="B62" s="51">
        <v>36792</v>
      </c>
      <c r="C62" s="3" t="s">
        <v>77</v>
      </c>
      <c r="D62" s="3" t="s">
        <v>239</v>
      </c>
      <c r="E62" s="3" t="s">
        <v>53</v>
      </c>
      <c r="F62" s="3">
        <v>13.7</v>
      </c>
      <c r="G62" s="19">
        <v>0.95</v>
      </c>
      <c r="H62" s="2">
        <f>Table5101332337071[[#This Row],[Quantity]]*Table5101332337071[[#This Row],[Unit Price]]</f>
        <v>13.014999999999999</v>
      </c>
      <c r="I62" s="4">
        <v>0.02</v>
      </c>
      <c r="J62" s="3"/>
      <c r="K62" s="4">
        <v>0.13</v>
      </c>
      <c r="L62" s="2">
        <f>(Table5101332337071[[#This Row],[Total]] * (1 - Table5101332337071[[#This Row],[Discount (%)]]) + Table5101332337071[[#This Row],[ΕΦΚ]]) * (1 + Table5101332337071[[#This Row],[TAX (%)]])</f>
        <v>14.412810999999996</v>
      </c>
    </row>
    <row r="63" spans="1:12" x14ac:dyDescent="0.3">
      <c r="A63" s="12">
        <v>46077</v>
      </c>
      <c r="B63" s="51">
        <v>36792</v>
      </c>
      <c r="C63" s="3" t="s">
        <v>77</v>
      </c>
      <c r="D63" s="3" t="s">
        <v>238</v>
      </c>
      <c r="E63" s="3" t="s">
        <v>53</v>
      </c>
      <c r="F63" s="3">
        <v>0.6</v>
      </c>
      <c r="G63" s="19">
        <v>3.2</v>
      </c>
      <c r="H63" s="2">
        <f>Table5101332337071[[#This Row],[Quantity]]*Table5101332337071[[#This Row],[Unit Price]]</f>
        <v>1.92</v>
      </c>
      <c r="I63" s="4">
        <v>0.02</v>
      </c>
      <c r="J63" s="3"/>
      <c r="K63" s="4">
        <v>0.13</v>
      </c>
      <c r="L63" s="2">
        <f>(Table5101332337071[[#This Row],[Total]] * (1 - Table5101332337071[[#This Row],[Discount (%)]]) + Table5101332337071[[#This Row],[ΕΦΚ]]) * (1 + Table5101332337071[[#This Row],[TAX (%)]])</f>
        <v>2.1262079999999997</v>
      </c>
    </row>
    <row r="64" spans="1:12" x14ac:dyDescent="0.3">
      <c r="A64" s="12">
        <v>46077</v>
      </c>
      <c r="B64" s="51">
        <v>36792</v>
      </c>
      <c r="C64" s="3" t="s">
        <v>77</v>
      </c>
      <c r="D64" s="3" t="s">
        <v>242</v>
      </c>
      <c r="E64" s="3" t="s">
        <v>53</v>
      </c>
      <c r="F64" s="3">
        <v>5</v>
      </c>
      <c r="G64" s="19">
        <v>0.95</v>
      </c>
      <c r="H64" s="2">
        <f>Table5101332337071[[#This Row],[Quantity]]*Table5101332337071[[#This Row],[Unit Price]]</f>
        <v>4.75</v>
      </c>
      <c r="I64" s="4">
        <v>0.02</v>
      </c>
      <c r="J64" s="3"/>
      <c r="K64" s="4">
        <v>0.13</v>
      </c>
      <c r="L64" s="2">
        <f>(Table5101332337071[[#This Row],[Total]] * (1 - Table5101332337071[[#This Row],[Discount (%)]]) + Table5101332337071[[#This Row],[ΕΦΚ]]) * (1 + Table5101332337071[[#This Row],[TAX (%)]])</f>
        <v>5.2601499999999994</v>
      </c>
    </row>
    <row r="65" spans="1:12" x14ac:dyDescent="0.3">
      <c r="A65" s="12">
        <v>46077</v>
      </c>
      <c r="B65" s="51">
        <v>36792</v>
      </c>
      <c r="C65" s="3" t="s">
        <v>77</v>
      </c>
      <c r="D65" s="3" t="s">
        <v>237</v>
      </c>
      <c r="E65" s="3" t="s">
        <v>53</v>
      </c>
      <c r="F65" s="3">
        <v>2.5</v>
      </c>
      <c r="G65" s="19">
        <v>1.5</v>
      </c>
      <c r="H65" s="2">
        <f>Table5101332337071[[#This Row],[Quantity]]*Table5101332337071[[#This Row],[Unit Price]]</f>
        <v>3.75</v>
      </c>
      <c r="I65" s="4">
        <v>0.02</v>
      </c>
      <c r="J65" s="3"/>
      <c r="K65" s="4">
        <v>0.13</v>
      </c>
      <c r="L65" s="2">
        <f>(Table5101332337071[[#This Row],[Total]] * (1 - Table5101332337071[[#This Row],[Discount (%)]]) + Table5101332337071[[#This Row],[ΕΦΚ]]) * (1 + Table5101332337071[[#This Row],[TAX (%)]])</f>
        <v>4.1527499999999993</v>
      </c>
    </row>
    <row r="66" spans="1:12" x14ac:dyDescent="0.3">
      <c r="A66" s="12">
        <v>46077</v>
      </c>
      <c r="B66" s="51">
        <v>36792</v>
      </c>
      <c r="C66" s="3" t="s">
        <v>77</v>
      </c>
      <c r="D66" s="3" t="s">
        <v>229</v>
      </c>
      <c r="E66" s="3" t="s">
        <v>53</v>
      </c>
      <c r="F66" s="3">
        <v>1.3</v>
      </c>
      <c r="G66" s="19">
        <v>2.5</v>
      </c>
      <c r="H66" s="2">
        <f>Table5101332337071[[#This Row],[Quantity]]*Table5101332337071[[#This Row],[Unit Price]]</f>
        <v>3.25</v>
      </c>
      <c r="I66" s="4">
        <v>0.02</v>
      </c>
      <c r="J66" s="3"/>
      <c r="K66" s="4">
        <v>0.13</v>
      </c>
      <c r="L66" s="2">
        <f>(Table5101332337071[[#This Row],[Total]] * (1 - Table5101332337071[[#This Row],[Discount (%)]]) + Table5101332337071[[#This Row],[ΕΦΚ]]) * (1 + Table5101332337071[[#This Row],[TAX (%)]])</f>
        <v>3.5990499999999996</v>
      </c>
    </row>
    <row r="67" spans="1:12" x14ac:dyDescent="0.3">
      <c r="A67" s="12">
        <v>46077</v>
      </c>
      <c r="B67" s="51">
        <v>36792</v>
      </c>
      <c r="C67" s="3" t="s">
        <v>77</v>
      </c>
      <c r="D67" s="3" t="s">
        <v>240</v>
      </c>
      <c r="E67" s="3" t="s">
        <v>53</v>
      </c>
      <c r="F67" s="3">
        <v>1.4</v>
      </c>
      <c r="G67" s="19">
        <v>3.4</v>
      </c>
      <c r="H67" s="2">
        <f>Table5101332337071[[#This Row],[Quantity]]*Table5101332337071[[#This Row],[Unit Price]]</f>
        <v>4.76</v>
      </c>
      <c r="I67" s="4">
        <v>0.02</v>
      </c>
      <c r="J67" s="3"/>
      <c r="K67" s="4">
        <v>0.13</v>
      </c>
      <c r="L67" s="2">
        <f>(Table5101332337071[[#This Row],[Total]] * (1 - Table5101332337071[[#This Row],[Discount (%)]]) + Table5101332337071[[#This Row],[ΕΦΚ]]) * (1 + Table5101332337071[[#This Row],[TAX (%)]])</f>
        <v>5.2712239999999992</v>
      </c>
    </row>
    <row r="68" spans="1:12" x14ac:dyDescent="0.3">
      <c r="A68" s="12">
        <v>46067</v>
      </c>
      <c r="B68" s="51">
        <v>36654</v>
      </c>
      <c r="C68" s="3" t="s">
        <v>77</v>
      </c>
      <c r="D68" s="3" t="s">
        <v>228</v>
      </c>
      <c r="E68" s="3" t="s">
        <v>53</v>
      </c>
      <c r="F68" s="3">
        <v>1.7</v>
      </c>
      <c r="G68" s="19">
        <v>1.85</v>
      </c>
      <c r="H68" s="2">
        <f>Table5101332337071[[#This Row],[Quantity]]*Table5101332337071[[#This Row],[Unit Price]]</f>
        <v>3.145</v>
      </c>
      <c r="I68" s="4">
        <v>0.02</v>
      </c>
      <c r="J68" s="3"/>
      <c r="K68" s="4">
        <v>0.13</v>
      </c>
      <c r="L68" s="2">
        <f>(Table5101332337071[[#This Row],[Total]] * (1 - Table5101332337071[[#This Row],[Discount (%)]]) + Table5101332337071[[#This Row],[ΕΦΚ]]) * (1 + Table5101332337071[[#This Row],[TAX (%)]])</f>
        <v>3.4827729999999999</v>
      </c>
    </row>
    <row r="69" spans="1:12" x14ac:dyDescent="0.3">
      <c r="A69" s="12">
        <v>46067</v>
      </c>
      <c r="B69" s="51">
        <v>36654</v>
      </c>
      <c r="C69" s="3" t="s">
        <v>77</v>
      </c>
      <c r="D69" s="3" t="s">
        <v>239</v>
      </c>
      <c r="E69" s="3" t="s">
        <v>53</v>
      </c>
      <c r="F69" s="3">
        <v>10</v>
      </c>
      <c r="G69" s="19">
        <v>0.9</v>
      </c>
      <c r="H69" s="2">
        <f>Table5101332337071[[#This Row],[Quantity]]*Table5101332337071[[#This Row],[Unit Price]]</f>
        <v>9</v>
      </c>
      <c r="I69" s="4">
        <v>0.02</v>
      </c>
      <c r="J69" s="3"/>
      <c r="K69" s="4">
        <v>0.13</v>
      </c>
      <c r="L69" s="2">
        <f>(Table5101332337071[[#This Row],[Total]] * (1 - Table5101332337071[[#This Row],[Discount (%)]]) + Table5101332337071[[#This Row],[ΕΦΚ]]) * (1 + Table5101332337071[[#This Row],[TAX (%)]])</f>
        <v>9.9665999999999997</v>
      </c>
    </row>
    <row r="70" spans="1:12" x14ac:dyDescent="0.3">
      <c r="A70" s="12">
        <v>46067</v>
      </c>
      <c r="B70" s="51">
        <v>36654</v>
      </c>
      <c r="C70" s="3" t="s">
        <v>77</v>
      </c>
      <c r="D70" s="3" t="s">
        <v>225</v>
      </c>
      <c r="E70" s="3" t="s">
        <v>53</v>
      </c>
      <c r="F70" s="3">
        <v>1.5</v>
      </c>
      <c r="G70" s="19">
        <v>5.7</v>
      </c>
      <c r="H70" s="2">
        <f>Table5101332337071[[#This Row],[Quantity]]*Table5101332337071[[#This Row],[Unit Price]]</f>
        <v>8.5500000000000007</v>
      </c>
      <c r="I70" s="4">
        <v>0.02</v>
      </c>
      <c r="J70" s="3"/>
      <c r="K70" s="4">
        <v>0.13</v>
      </c>
      <c r="L70" s="2">
        <f>(Table5101332337071[[#This Row],[Total]] * (1 - Table5101332337071[[#This Row],[Discount (%)]]) + Table5101332337071[[#This Row],[ΕΦΚ]]) * (1 + Table5101332337071[[#This Row],[TAX (%)]])</f>
        <v>9.4682700000000004</v>
      </c>
    </row>
    <row r="71" spans="1:12" x14ac:dyDescent="0.3">
      <c r="A71" s="12">
        <v>46062</v>
      </c>
      <c r="B71" s="51">
        <v>36582</v>
      </c>
      <c r="C71" s="3" t="s">
        <v>77</v>
      </c>
      <c r="D71" s="3" t="s">
        <v>252</v>
      </c>
      <c r="E71" s="3" t="s">
        <v>53</v>
      </c>
      <c r="F71" s="3">
        <v>9.6</v>
      </c>
      <c r="G71" s="19">
        <v>1</v>
      </c>
      <c r="H71" s="2">
        <f>Table5101332337071[[#This Row],[Quantity]]*Table5101332337071[[#This Row],[Unit Price]]</f>
        <v>9.6</v>
      </c>
      <c r="I71" s="4">
        <v>0</v>
      </c>
      <c r="J71" s="3"/>
      <c r="K71" s="4">
        <v>0.13</v>
      </c>
      <c r="L71" s="2">
        <f>(Table5101332337071[[#This Row],[Total]] * (1 - Table5101332337071[[#This Row],[Discount (%)]]) + Table5101332337071[[#This Row],[ΕΦΚ]]) * (1 + Table5101332337071[[#This Row],[TAX (%)]])</f>
        <v>10.847999999999999</v>
      </c>
    </row>
    <row r="72" spans="1:12" x14ac:dyDescent="0.3">
      <c r="A72" s="12">
        <v>46062</v>
      </c>
      <c r="B72" s="51">
        <v>36582</v>
      </c>
      <c r="C72" s="3" t="s">
        <v>77</v>
      </c>
      <c r="D72" s="3" t="s">
        <v>226</v>
      </c>
      <c r="E72" s="3" t="s">
        <v>53</v>
      </c>
      <c r="F72" s="3">
        <v>3</v>
      </c>
      <c r="G72" s="19">
        <v>1.2</v>
      </c>
      <c r="H72" s="2">
        <f>Table5101332337071[[#This Row],[Quantity]]*Table5101332337071[[#This Row],[Unit Price]]</f>
        <v>3.5999999999999996</v>
      </c>
      <c r="I72" s="4">
        <v>0</v>
      </c>
      <c r="J72" s="3"/>
      <c r="K72" s="4">
        <v>0.13</v>
      </c>
      <c r="L72" s="2">
        <f>(Table5101332337071[[#This Row],[Total]] * (1 - Table5101332337071[[#This Row],[Discount (%)]]) + Table5101332337071[[#This Row],[ΕΦΚ]]) * (1 + Table5101332337071[[#This Row],[TAX (%)]])</f>
        <v>4.0679999999999996</v>
      </c>
    </row>
    <row r="73" spans="1:12" x14ac:dyDescent="0.3">
      <c r="A73" s="12">
        <v>46062</v>
      </c>
      <c r="B73" s="51">
        <v>36582</v>
      </c>
      <c r="C73" s="3" t="s">
        <v>77</v>
      </c>
      <c r="D73" s="3" t="s">
        <v>237</v>
      </c>
      <c r="E73" s="3" t="s">
        <v>53</v>
      </c>
      <c r="F73" s="3">
        <v>3.7</v>
      </c>
      <c r="G73" s="19">
        <v>1.8</v>
      </c>
      <c r="H73" s="2">
        <f>Table5101332337071[[#This Row],[Quantity]]*Table5101332337071[[#This Row],[Unit Price]]</f>
        <v>6.66</v>
      </c>
      <c r="I73" s="4">
        <v>0</v>
      </c>
      <c r="J73" s="3"/>
      <c r="K73" s="4">
        <v>0.13</v>
      </c>
      <c r="L73" s="2">
        <f>(Table5101332337071[[#This Row],[Total]] * (1 - Table5101332337071[[#This Row],[Discount (%)]]) + Table5101332337071[[#This Row],[ΕΦΚ]]) * (1 + Table5101332337071[[#This Row],[TAX (%)]])</f>
        <v>7.5257999999999994</v>
      </c>
    </row>
    <row r="74" spans="1:12" x14ac:dyDescent="0.3">
      <c r="A74" s="12">
        <v>46062</v>
      </c>
      <c r="B74" s="51">
        <v>36582</v>
      </c>
      <c r="C74" s="3" t="s">
        <v>77</v>
      </c>
      <c r="D74" s="3" t="s">
        <v>230</v>
      </c>
      <c r="E74" s="3" t="s">
        <v>53</v>
      </c>
      <c r="F74" s="3">
        <v>2.9</v>
      </c>
      <c r="G74" s="19">
        <v>1.5</v>
      </c>
      <c r="H74" s="2">
        <f>Table5101332337071[[#This Row],[Quantity]]*Table5101332337071[[#This Row],[Unit Price]]</f>
        <v>4.3499999999999996</v>
      </c>
      <c r="I74" s="4">
        <v>0</v>
      </c>
      <c r="J74" s="3"/>
      <c r="K74" s="4">
        <v>0.13</v>
      </c>
      <c r="L74" s="2">
        <f>(Table5101332337071[[#This Row],[Total]] * (1 - Table5101332337071[[#This Row],[Discount (%)]]) + Table5101332337071[[#This Row],[ΕΦΚ]]) * (1 + Table5101332337071[[#This Row],[TAX (%)]])</f>
        <v>4.9154999999999989</v>
      </c>
    </row>
    <row r="75" spans="1:12" x14ac:dyDescent="0.3">
      <c r="A75" s="12">
        <v>46049</v>
      </c>
      <c r="B75" s="51">
        <v>36424</v>
      </c>
      <c r="C75" s="3" t="s">
        <v>77</v>
      </c>
      <c r="D75" s="3" t="s">
        <v>252</v>
      </c>
      <c r="E75" s="3" t="s">
        <v>53</v>
      </c>
      <c r="F75" s="3">
        <v>5.5</v>
      </c>
      <c r="G75" s="19">
        <v>0.9</v>
      </c>
      <c r="H75" s="2">
        <f>Table5101332337071[[#This Row],[Quantity]]*Table5101332337071[[#This Row],[Unit Price]]</f>
        <v>4.95</v>
      </c>
      <c r="I75" s="4">
        <v>0.02</v>
      </c>
      <c r="J75" s="3"/>
      <c r="K75" s="4">
        <v>0.13</v>
      </c>
      <c r="L75" s="2">
        <f>(Table5101332337071[[#This Row],[Total]] * (1 - Table5101332337071[[#This Row],[Discount (%)]]) + Table5101332337071[[#This Row],[ΕΦΚ]]) * (1 + Table5101332337071[[#This Row],[TAX (%)]])</f>
        <v>5.4816299999999991</v>
      </c>
    </row>
    <row r="76" spans="1:12" x14ac:dyDescent="0.3">
      <c r="A76" s="12">
        <v>46049</v>
      </c>
      <c r="B76" s="51">
        <v>36424</v>
      </c>
      <c r="C76" s="3" t="s">
        <v>77</v>
      </c>
      <c r="D76" s="3" t="s">
        <v>224</v>
      </c>
      <c r="E76" s="3" t="s">
        <v>53</v>
      </c>
      <c r="F76" s="3">
        <v>1.9</v>
      </c>
      <c r="G76" s="19">
        <v>1.95</v>
      </c>
      <c r="H76" s="2">
        <f>Table5101332337071[[#This Row],[Quantity]]*Table5101332337071[[#This Row],[Unit Price]]</f>
        <v>3.7049999999999996</v>
      </c>
      <c r="I76" s="4">
        <v>0.02</v>
      </c>
      <c r="J76" s="3"/>
      <c r="K76" s="4">
        <v>0.13</v>
      </c>
      <c r="L76" s="2">
        <f>(Table5101332337071[[#This Row],[Total]] * (1 - Table5101332337071[[#This Row],[Discount (%)]]) + Table5101332337071[[#This Row],[ΕΦΚ]]) * (1 + Table5101332337071[[#This Row],[TAX (%)]])</f>
        <v>4.1029169999999988</v>
      </c>
    </row>
    <row r="77" spans="1:12" x14ac:dyDescent="0.3">
      <c r="A77" s="12">
        <v>46049</v>
      </c>
      <c r="B77" s="51">
        <v>36424</v>
      </c>
      <c r="C77" s="3" t="s">
        <v>77</v>
      </c>
      <c r="D77" s="3" t="s">
        <v>225</v>
      </c>
      <c r="E77" s="3" t="s">
        <v>53</v>
      </c>
      <c r="F77" s="3">
        <v>0.9</v>
      </c>
      <c r="G77" s="19">
        <v>6.2</v>
      </c>
      <c r="H77" s="2">
        <f>Table5101332337071[[#This Row],[Quantity]]*Table5101332337071[[#This Row],[Unit Price]]</f>
        <v>5.58</v>
      </c>
      <c r="I77" s="4">
        <v>0.02</v>
      </c>
      <c r="J77" s="3"/>
      <c r="K77" s="4">
        <v>0.13</v>
      </c>
      <c r="L77" s="2">
        <f>(Table5101332337071[[#This Row],[Total]] * (1 - Table5101332337071[[#This Row],[Discount (%)]]) + Table5101332337071[[#This Row],[ΕΦΚ]]) * (1 + Table5101332337071[[#This Row],[TAX (%)]])</f>
        <v>6.1792919999999993</v>
      </c>
    </row>
    <row r="78" spans="1:12" x14ac:dyDescent="0.3">
      <c r="A78" s="12">
        <v>46049</v>
      </c>
      <c r="B78" s="51">
        <v>36424</v>
      </c>
      <c r="C78" s="3" t="s">
        <v>77</v>
      </c>
      <c r="D78" s="3" t="s">
        <v>242</v>
      </c>
      <c r="E78" s="3" t="s">
        <v>53</v>
      </c>
      <c r="F78" s="3">
        <v>5</v>
      </c>
      <c r="G78" s="19">
        <v>0.9</v>
      </c>
      <c r="H78" s="2">
        <f>Table5101332337071[[#This Row],[Quantity]]*Table5101332337071[[#This Row],[Unit Price]]</f>
        <v>4.5</v>
      </c>
      <c r="I78" s="4">
        <v>0.02</v>
      </c>
      <c r="J78" s="3"/>
      <c r="K78" s="4">
        <v>0.13</v>
      </c>
      <c r="L78" s="2">
        <f>(Table5101332337071[[#This Row],[Total]] * (1 - Table5101332337071[[#This Row],[Discount (%)]]) + Table5101332337071[[#This Row],[ΕΦΚ]]) * (1 + Table5101332337071[[#This Row],[TAX (%)]])</f>
        <v>4.9832999999999998</v>
      </c>
    </row>
    <row r="79" spans="1:12" x14ac:dyDescent="0.3">
      <c r="A79" s="12">
        <v>46049</v>
      </c>
      <c r="B79" s="51">
        <v>36424</v>
      </c>
      <c r="C79" s="3" t="s">
        <v>77</v>
      </c>
      <c r="D79" s="3" t="s">
        <v>238</v>
      </c>
      <c r="E79" s="3" t="s">
        <v>53</v>
      </c>
      <c r="F79" s="3">
        <v>1.2</v>
      </c>
      <c r="G79" s="19">
        <v>3.7</v>
      </c>
      <c r="H79" s="2">
        <f>Table5101332337071[[#This Row],[Quantity]]*Table5101332337071[[#This Row],[Unit Price]]</f>
        <v>4.4400000000000004</v>
      </c>
      <c r="I79" s="4">
        <v>0.02</v>
      </c>
      <c r="J79" s="3"/>
      <c r="K79" s="4">
        <v>0.13</v>
      </c>
      <c r="L79" s="2">
        <f>(Table5101332337071[[#This Row],[Total]] * (1 - Table5101332337071[[#This Row],[Discount (%)]]) + Table5101332337071[[#This Row],[ΕΦΚ]]) * (1 + Table5101332337071[[#This Row],[TAX (%)]])</f>
        <v>4.9168560000000001</v>
      </c>
    </row>
    <row r="80" spans="1:12" x14ac:dyDescent="0.3">
      <c r="A80" s="12">
        <v>46049</v>
      </c>
      <c r="B80" s="51">
        <v>36424</v>
      </c>
      <c r="C80" s="3" t="s">
        <v>77</v>
      </c>
      <c r="D80" s="3" t="s">
        <v>228</v>
      </c>
      <c r="E80" s="3" t="s">
        <v>53</v>
      </c>
      <c r="F80" s="3">
        <v>1.5</v>
      </c>
      <c r="G80" s="19">
        <v>2.1</v>
      </c>
      <c r="H80" s="2">
        <f>Table5101332337071[[#This Row],[Quantity]]*Table5101332337071[[#This Row],[Unit Price]]</f>
        <v>3.1500000000000004</v>
      </c>
      <c r="I80" s="4">
        <v>0.02</v>
      </c>
      <c r="J80" s="3"/>
      <c r="K80" s="4">
        <v>0.13</v>
      </c>
      <c r="L80" s="2">
        <f>(Table5101332337071[[#This Row],[Total]] * (1 - Table5101332337071[[#This Row],[Discount (%)]]) + Table5101332337071[[#This Row],[ΕΦΚ]]) * (1 + Table5101332337071[[#This Row],[TAX (%)]])</f>
        <v>3.4883099999999998</v>
      </c>
    </row>
    <row r="81" spans="1:12" x14ac:dyDescent="0.3">
      <c r="A81" s="12">
        <v>46049</v>
      </c>
      <c r="B81" s="51">
        <v>36424</v>
      </c>
      <c r="C81" s="3" t="s">
        <v>77</v>
      </c>
      <c r="D81" s="3" t="s">
        <v>229</v>
      </c>
      <c r="E81" s="3" t="s">
        <v>53</v>
      </c>
      <c r="F81" s="3">
        <v>1.4</v>
      </c>
      <c r="G81" s="19">
        <v>2.6</v>
      </c>
      <c r="H81" s="2">
        <f>Table5101332337071[[#This Row],[Quantity]]*Table5101332337071[[#This Row],[Unit Price]]</f>
        <v>3.6399999999999997</v>
      </c>
      <c r="I81" s="4">
        <v>0.02</v>
      </c>
      <c r="J81" s="3"/>
      <c r="K81" s="4">
        <v>0.13</v>
      </c>
      <c r="L81" s="2">
        <f>(Table5101332337071[[#This Row],[Total]] * (1 - Table5101332337071[[#This Row],[Discount (%)]]) + Table5101332337071[[#This Row],[ΕΦΚ]]) * (1 + Table5101332337071[[#This Row],[TAX (%)]])</f>
        <v>4.0309359999999996</v>
      </c>
    </row>
    <row r="82" spans="1:12" x14ac:dyDescent="0.3">
      <c r="A82" s="12">
        <v>46049</v>
      </c>
      <c r="B82" s="51">
        <v>36424</v>
      </c>
      <c r="C82" s="3" t="s">
        <v>77</v>
      </c>
      <c r="D82" s="3" t="s">
        <v>240</v>
      </c>
      <c r="E82" s="3" t="s">
        <v>53</v>
      </c>
      <c r="F82" s="3">
        <v>1.5</v>
      </c>
      <c r="G82" s="19">
        <v>2.9</v>
      </c>
      <c r="H82" s="2">
        <f>Table5101332337071[[#This Row],[Quantity]]*Table5101332337071[[#This Row],[Unit Price]]</f>
        <v>4.3499999999999996</v>
      </c>
      <c r="I82" s="4">
        <v>0.02</v>
      </c>
      <c r="J82" s="3"/>
      <c r="K82" s="4">
        <v>0.13</v>
      </c>
      <c r="L82" s="2">
        <f>(Table5101332337071[[#This Row],[Total]] * (1 - Table5101332337071[[#This Row],[Discount (%)]]) + Table5101332337071[[#This Row],[ΕΦΚ]]) * (1 + Table5101332337071[[#This Row],[TAX (%)]])</f>
        <v>4.8171899999999992</v>
      </c>
    </row>
    <row r="83" spans="1:12" x14ac:dyDescent="0.3">
      <c r="A83" s="12">
        <v>46049</v>
      </c>
      <c r="B83" s="51">
        <v>36424</v>
      </c>
      <c r="C83" s="3" t="s">
        <v>77</v>
      </c>
      <c r="D83" s="3" t="s">
        <v>226</v>
      </c>
      <c r="E83" s="3" t="s">
        <v>53</v>
      </c>
      <c r="F83" s="3">
        <v>1</v>
      </c>
      <c r="G83" s="19">
        <v>1.2</v>
      </c>
      <c r="H83" s="2">
        <f>Table5101332337071[[#This Row],[Quantity]]*Table5101332337071[[#This Row],[Unit Price]]</f>
        <v>1.2</v>
      </c>
      <c r="I83" s="4">
        <v>0.02</v>
      </c>
      <c r="J83" s="3"/>
      <c r="K83" s="4">
        <v>0.13</v>
      </c>
      <c r="L83" s="2">
        <f>(Table5101332337071[[#This Row],[Total]] * (1 - Table5101332337071[[#This Row],[Discount (%)]]) + Table5101332337071[[#This Row],[ΕΦΚ]]) * (1 + Table5101332337071[[#This Row],[TAX (%)]])</f>
        <v>1.3288799999999998</v>
      </c>
    </row>
    <row r="84" spans="1:12" x14ac:dyDescent="0.3">
      <c r="A84" s="12">
        <v>46049</v>
      </c>
      <c r="B84" s="51">
        <v>36424</v>
      </c>
      <c r="C84" s="3" t="s">
        <v>77</v>
      </c>
      <c r="D84" s="3" t="s">
        <v>236</v>
      </c>
      <c r="E84" s="3" t="s">
        <v>53</v>
      </c>
      <c r="F84" s="3">
        <v>1</v>
      </c>
      <c r="G84" s="19">
        <v>1.2</v>
      </c>
      <c r="H84" s="2">
        <f>Table5101332337071[[#This Row],[Quantity]]*Table5101332337071[[#This Row],[Unit Price]]</f>
        <v>1.2</v>
      </c>
      <c r="I84" s="4">
        <v>0.02</v>
      </c>
      <c r="J84" s="3"/>
      <c r="K84" s="4">
        <v>0.13</v>
      </c>
      <c r="L84" s="2">
        <f>(Table5101332337071[[#This Row],[Total]] * (1 - Table5101332337071[[#This Row],[Discount (%)]]) + Table5101332337071[[#This Row],[ΕΦΚ]]) * (1 + Table5101332337071[[#This Row],[TAX (%)]])</f>
        <v>1.3288799999999998</v>
      </c>
    </row>
    <row r="85" spans="1:12" x14ac:dyDescent="0.3">
      <c r="A85" s="12">
        <v>46049</v>
      </c>
      <c r="B85" s="51">
        <v>36424</v>
      </c>
      <c r="C85" s="3" t="s">
        <v>77</v>
      </c>
      <c r="D85" s="3" t="s">
        <v>246</v>
      </c>
      <c r="E85" s="3" t="s">
        <v>53</v>
      </c>
      <c r="F85" s="3">
        <v>2</v>
      </c>
      <c r="G85" s="19">
        <v>1.2</v>
      </c>
      <c r="H85" s="2">
        <f>Table5101332337071[[#This Row],[Quantity]]*Table5101332337071[[#This Row],[Unit Price]]</f>
        <v>2.4</v>
      </c>
      <c r="I85" s="4">
        <v>0.02</v>
      </c>
      <c r="J85" s="3"/>
      <c r="K85" s="4">
        <v>0.13</v>
      </c>
      <c r="L85" s="2">
        <f>(Table5101332337071[[#This Row],[Total]] * (1 - Table5101332337071[[#This Row],[Discount (%)]]) + Table5101332337071[[#This Row],[ΕΦΚ]]) * (1 + Table5101332337071[[#This Row],[TAX (%)]])</f>
        <v>2.6577599999999997</v>
      </c>
    </row>
    <row r="86" spans="1:12" x14ac:dyDescent="0.3">
      <c r="A86" s="12">
        <v>46049</v>
      </c>
      <c r="B86" s="51">
        <v>36424</v>
      </c>
      <c r="C86" s="3" t="s">
        <v>77</v>
      </c>
      <c r="D86" s="3" t="s">
        <v>230</v>
      </c>
      <c r="E86" s="3" t="s">
        <v>53</v>
      </c>
      <c r="F86" s="3">
        <v>1.3</v>
      </c>
      <c r="G86" s="19">
        <v>1.45</v>
      </c>
      <c r="H86" s="2">
        <f>Table5101332337071[[#This Row],[Quantity]]*Table5101332337071[[#This Row],[Unit Price]]</f>
        <v>1.885</v>
      </c>
      <c r="I86" s="4">
        <v>0.02</v>
      </c>
      <c r="J86" s="3"/>
      <c r="K86" s="4">
        <v>0.13</v>
      </c>
      <c r="L86" s="2">
        <f>(Table5101332337071[[#This Row],[Total]] * (1 - Table5101332337071[[#This Row],[Discount (%)]]) + Table5101332337071[[#This Row],[ΕΦΚ]]) * (1 + Table5101332337071[[#This Row],[TAX (%)]])</f>
        <v>2.0874489999999999</v>
      </c>
    </row>
    <row r="87" spans="1:12" x14ac:dyDescent="0.3">
      <c r="A87" s="12">
        <v>45993</v>
      </c>
      <c r="B87" s="51">
        <v>35774</v>
      </c>
      <c r="C87" s="3" t="s">
        <v>77</v>
      </c>
      <c r="D87" s="3" t="s">
        <v>224</v>
      </c>
      <c r="E87" s="3" t="s">
        <v>53</v>
      </c>
      <c r="F87" s="3">
        <v>2.9</v>
      </c>
      <c r="G87" s="19">
        <v>1.55</v>
      </c>
      <c r="H87" s="2">
        <f>Table5101332337071[[#This Row],[Quantity]]*Table5101332337071[[#This Row],[Unit Price]]</f>
        <v>4.4950000000000001</v>
      </c>
      <c r="I87" s="4">
        <v>0.02</v>
      </c>
      <c r="J87" s="3"/>
      <c r="K87" s="4">
        <v>0.13</v>
      </c>
      <c r="L87" s="2">
        <f>(Table5101332337071[[#This Row],[Total]] * (1 - Table5101332337071[[#This Row],[Discount (%)]]) + Table5101332337071[[#This Row],[ΕΦΚ]]) * (1 + Table5101332337071[[#This Row],[TAX (%)]])</f>
        <v>4.9777629999999995</v>
      </c>
    </row>
    <row r="88" spans="1:12" x14ac:dyDescent="0.3">
      <c r="A88" s="12">
        <v>45993</v>
      </c>
      <c r="B88" s="51">
        <v>35774</v>
      </c>
      <c r="C88" s="3" t="s">
        <v>77</v>
      </c>
      <c r="D88" s="3" t="s">
        <v>225</v>
      </c>
      <c r="E88" s="3" t="s">
        <v>53</v>
      </c>
      <c r="F88" s="3">
        <v>1.5</v>
      </c>
      <c r="G88" s="19">
        <v>3.6</v>
      </c>
      <c r="H88" s="2">
        <f>Table5101332337071[[#This Row],[Quantity]]*Table5101332337071[[#This Row],[Unit Price]]</f>
        <v>5.4</v>
      </c>
      <c r="I88" s="4">
        <v>0.02</v>
      </c>
      <c r="J88" s="3"/>
      <c r="K88" s="4">
        <v>0.13</v>
      </c>
      <c r="L88" s="2">
        <f>(Table5101332337071[[#This Row],[Total]] * (1 - Table5101332337071[[#This Row],[Discount (%)]]) + Table5101332337071[[#This Row],[ΕΦΚ]]) * (1 + Table5101332337071[[#This Row],[TAX (%)]])</f>
        <v>5.9799599999999993</v>
      </c>
    </row>
    <row r="89" spans="1:12" x14ac:dyDescent="0.3">
      <c r="A89" s="12">
        <v>45993</v>
      </c>
      <c r="B89" s="51">
        <v>35774</v>
      </c>
      <c r="C89" s="3" t="s">
        <v>77</v>
      </c>
      <c r="D89" s="3" t="s">
        <v>242</v>
      </c>
      <c r="E89" s="3" t="s">
        <v>53</v>
      </c>
      <c r="F89" s="3">
        <v>5</v>
      </c>
      <c r="G89" s="19">
        <v>0.45</v>
      </c>
      <c r="H89" s="2">
        <f>Table5101332337071[[#This Row],[Quantity]]*Table5101332337071[[#This Row],[Unit Price]]</f>
        <v>2.25</v>
      </c>
      <c r="I89" s="4">
        <v>0.02</v>
      </c>
      <c r="J89" s="3"/>
      <c r="K89" s="4">
        <v>0.13</v>
      </c>
      <c r="L89" s="2">
        <f>(Table5101332337071[[#This Row],[Total]] * (1 - Table5101332337071[[#This Row],[Discount (%)]]) + Table5101332337071[[#This Row],[ΕΦΚ]]) * (1 + Table5101332337071[[#This Row],[TAX (%)]])</f>
        <v>2.4916499999999999</v>
      </c>
    </row>
    <row r="90" spans="1:12" x14ac:dyDescent="0.3">
      <c r="A90" s="12">
        <v>45993</v>
      </c>
      <c r="B90" s="51">
        <v>35774</v>
      </c>
      <c r="C90" s="3" t="s">
        <v>77</v>
      </c>
      <c r="D90" s="3" t="s">
        <v>234</v>
      </c>
      <c r="E90" s="3" t="s">
        <v>53</v>
      </c>
      <c r="F90" s="3">
        <v>8.4</v>
      </c>
      <c r="G90" s="19">
        <v>1.2</v>
      </c>
      <c r="H90" s="2">
        <f>Table5101332337071[[#This Row],[Quantity]]*Table5101332337071[[#This Row],[Unit Price]]</f>
        <v>10.08</v>
      </c>
      <c r="I90" s="4">
        <v>0.02</v>
      </c>
      <c r="J90" s="3"/>
      <c r="K90" s="4">
        <v>0.13</v>
      </c>
      <c r="L90" s="2">
        <f>(Table5101332337071[[#This Row],[Total]] * (1 - Table5101332337071[[#This Row],[Discount (%)]]) + Table5101332337071[[#This Row],[ΕΦΚ]]) * (1 + Table5101332337071[[#This Row],[TAX (%)]])</f>
        <v>11.162591999999998</v>
      </c>
    </row>
    <row r="91" spans="1:12" x14ac:dyDescent="0.3">
      <c r="A91" s="12">
        <v>45993</v>
      </c>
      <c r="B91" s="51">
        <v>35774</v>
      </c>
      <c r="C91" s="3" t="s">
        <v>77</v>
      </c>
      <c r="D91" s="3" t="s">
        <v>238</v>
      </c>
      <c r="E91" s="3" t="s">
        <v>53</v>
      </c>
      <c r="F91" s="3">
        <v>0.8</v>
      </c>
      <c r="G91" s="19">
        <v>1.9</v>
      </c>
      <c r="H91" s="2">
        <f>Table5101332337071[[#This Row],[Quantity]]*Table5101332337071[[#This Row],[Unit Price]]</f>
        <v>1.52</v>
      </c>
      <c r="I91" s="4">
        <v>0.02</v>
      </c>
      <c r="J91" s="3"/>
      <c r="K91" s="4">
        <v>0.13</v>
      </c>
      <c r="L91" s="2">
        <f>(Table5101332337071[[#This Row],[Total]] * (1 - Table5101332337071[[#This Row],[Discount (%)]]) + Table5101332337071[[#This Row],[ΕΦΚ]]) * (1 + Table5101332337071[[#This Row],[TAX (%)]])</f>
        <v>1.6832479999999999</v>
      </c>
    </row>
    <row r="92" spans="1:12" x14ac:dyDescent="0.3">
      <c r="A92" s="12">
        <v>45976</v>
      </c>
      <c r="B92" s="51">
        <v>35572</v>
      </c>
      <c r="C92" s="3" t="s">
        <v>77</v>
      </c>
      <c r="D92" s="3" t="s">
        <v>245</v>
      </c>
      <c r="E92" s="3" t="s">
        <v>53</v>
      </c>
      <c r="F92" s="3">
        <v>8.8000000000000007</v>
      </c>
      <c r="G92" s="19">
        <v>1.2</v>
      </c>
      <c r="H92" s="2">
        <f>Table5101332337071[[#This Row],[Quantity]]*Table5101332337071[[#This Row],[Unit Price]]</f>
        <v>10.56</v>
      </c>
      <c r="I92" s="4">
        <v>0.02</v>
      </c>
      <c r="J92" s="3"/>
      <c r="K92" s="4">
        <v>0.13</v>
      </c>
      <c r="L92" s="2">
        <f>(Table5101332337071[[#This Row],[Total]] * (1 - Table5101332337071[[#This Row],[Discount (%)]]) + Table5101332337071[[#This Row],[ΕΦΚ]]) * (1 + Table5101332337071[[#This Row],[TAX (%)]])</f>
        <v>11.694144</v>
      </c>
    </row>
    <row r="93" spans="1:12" x14ac:dyDescent="0.3">
      <c r="A93" s="12">
        <v>45976</v>
      </c>
      <c r="B93" s="51">
        <v>35572</v>
      </c>
      <c r="C93" s="3" t="s">
        <v>77</v>
      </c>
      <c r="D93" s="3" t="s">
        <v>226</v>
      </c>
      <c r="E93" s="3" t="s">
        <v>53</v>
      </c>
      <c r="F93" s="3">
        <v>1</v>
      </c>
      <c r="G93" s="19">
        <v>1.2</v>
      </c>
      <c r="H93" s="2">
        <f>Table5101332337071[[#This Row],[Quantity]]*Table5101332337071[[#This Row],[Unit Price]]</f>
        <v>1.2</v>
      </c>
      <c r="I93" s="4">
        <v>0.02</v>
      </c>
      <c r="J93" s="3"/>
      <c r="K93" s="4">
        <v>0.13</v>
      </c>
      <c r="L93" s="2">
        <f>(Table5101332337071[[#This Row],[Total]] * (1 - Table5101332337071[[#This Row],[Discount (%)]]) + Table5101332337071[[#This Row],[ΕΦΚ]]) * (1 + Table5101332337071[[#This Row],[TAX (%)]])</f>
        <v>1.3288799999999998</v>
      </c>
    </row>
    <row r="94" spans="1:12" x14ac:dyDescent="0.3">
      <c r="A94" s="12">
        <v>45974</v>
      </c>
      <c r="B94" s="51">
        <v>35562</v>
      </c>
      <c r="C94" s="3" t="s">
        <v>77</v>
      </c>
      <c r="D94" s="3" t="s">
        <v>224</v>
      </c>
      <c r="E94" s="3" t="s">
        <v>53</v>
      </c>
      <c r="F94" s="3">
        <v>2</v>
      </c>
      <c r="G94" s="19">
        <v>1.4</v>
      </c>
      <c r="H94" s="2">
        <f>Table5101332337071[[#This Row],[Quantity]]*Table5101332337071[[#This Row],[Unit Price]]</f>
        <v>2.8</v>
      </c>
      <c r="I94" s="4">
        <v>0.02</v>
      </c>
      <c r="J94" s="3"/>
      <c r="K94" s="4">
        <v>0.13</v>
      </c>
      <c r="L94" s="2">
        <f>(Table5101332337071[[#This Row],[Total]] * (1 - Table5101332337071[[#This Row],[Discount (%)]]) + Table5101332337071[[#This Row],[ΕΦΚ]]) * (1 + Table5101332337071[[#This Row],[TAX (%)]])</f>
        <v>3.1007199999999995</v>
      </c>
    </row>
    <row r="95" spans="1:12" x14ac:dyDescent="0.3">
      <c r="A95" s="12">
        <v>45974</v>
      </c>
      <c r="B95" s="51">
        <v>35562</v>
      </c>
      <c r="C95" s="3" t="s">
        <v>77</v>
      </c>
      <c r="D95" s="3" t="s">
        <v>238</v>
      </c>
      <c r="E95" s="3" t="s">
        <v>53</v>
      </c>
      <c r="F95" s="3">
        <v>1.7</v>
      </c>
      <c r="G95" s="19">
        <v>1.4</v>
      </c>
      <c r="H95" s="2">
        <f>Table5101332337071[[#This Row],[Quantity]]*Table5101332337071[[#This Row],[Unit Price]]</f>
        <v>2.38</v>
      </c>
      <c r="I95" s="4">
        <v>0.02</v>
      </c>
      <c r="J95" s="3"/>
      <c r="K95" s="4">
        <v>0.13</v>
      </c>
      <c r="L95" s="2">
        <f>(Table5101332337071[[#This Row],[Total]] * (1 - Table5101332337071[[#This Row],[Discount (%)]]) + Table5101332337071[[#This Row],[ΕΦΚ]]) * (1 + Table5101332337071[[#This Row],[TAX (%)]])</f>
        <v>2.6356119999999996</v>
      </c>
    </row>
    <row r="96" spans="1:12" x14ac:dyDescent="0.3">
      <c r="A96" s="12">
        <v>45974</v>
      </c>
      <c r="B96" s="51">
        <v>35562</v>
      </c>
      <c r="C96" s="3" t="s">
        <v>77</v>
      </c>
      <c r="D96" s="3" t="s">
        <v>234</v>
      </c>
      <c r="E96" s="3" t="s">
        <v>53</v>
      </c>
      <c r="F96" s="3">
        <v>4.5</v>
      </c>
      <c r="G96" s="19">
        <v>1.4</v>
      </c>
      <c r="H96" s="2">
        <f>Table5101332337071[[#This Row],[Quantity]]*Table5101332337071[[#This Row],[Unit Price]]</f>
        <v>6.3</v>
      </c>
      <c r="I96" s="4">
        <v>0.02</v>
      </c>
      <c r="J96" s="3"/>
      <c r="K96" s="4">
        <v>0.13</v>
      </c>
      <c r="L96" s="2">
        <f>(Table5101332337071[[#This Row],[Total]] * (1 - Table5101332337071[[#This Row],[Discount (%)]]) + Table5101332337071[[#This Row],[ΕΦΚ]]) * (1 + Table5101332337071[[#This Row],[TAX (%)]])</f>
        <v>6.9766199999999987</v>
      </c>
    </row>
    <row r="97" spans="1:12" x14ac:dyDescent="0.3">
      <c r="A97" s="12">
        <v>45974</v>
      </c>
      <c r="B97" s="51">
        <v>35562</v>
      </c>
      <c r="C97" s="3" t="s">
        <v>77</v>
      </c>
      <c r="D97" s="3" t="s">
        <v>242</v>
      </c>
      <c r="E97" s="3" t="s">
        <v>53</v>
      </c>
      <c r="F97" s="3">
        <v>4</v>
      </c>
      <c r="G97" s="19">
        <v>0.55000000000000004</v>
      </c>
      <c r="H97" s="2">
        <f>Table5101332337071[[#This Row],[Quantity]]*Table5101332337071[[#This Row],[Unit Price]]</f>
        <v>2.2000000000000002</v>
      </c>
      <c r="I97" s="4">
        <v>0.02</v>
      </c>
      <c r="J97" s="3"/>
      <c r="K97" s="4">
        <v>0.13</v>
      </c>
      <c r="L97" s="2">
        <f>(Table5101332337071[[#This Row],[Total]] * (1 - Table5101332337071[[#This Row],[Discount (%)]]) + Table5101332337071[[#This Row],[ΕΦΚ]]) * (1 + Table5101332337071[[#This Row],[TAX (%)]])</f>
        <v>2.43628</v>
      </c>
    </row>
    <row r="98" spans="1:12" x14ac:dyDescent="0.3">
      <c r="A98" s="12">
        <v>45973</v>
      </c>
      <c r="B98" s="51">
        <v>35532</v>
      </c>
      <c r="C98" s="3" t="s">
        <v>77</v>
      </c>
      <c r="D98" s="3" t="s">
        <v>224</v>
      </c>
      <c r="E98" s="3" t="s">
        <v>53</v>
      </c>
      <c r="F98" s="3">
        <v>1.3</v>
      </c>
      <c r="G98" s="19">
        <v>1.8</v>
      </c>
      <c r="H98" s="2">
        <f>Table5101332337071[[#This Row],[Quantity]]*Table5101332337071[[#This Row],[Unit Price]]</f>
        <v>2.3400000000000003</v>
      </c>
      <c r="I98" s="4">
        <v>0.02</v>
      </c>
      <c r="J98" s="3"/>
      <c r="K98" s="4">
        <v>0.13</v>
      </c>
      <c r="L98" s="2">
        <f>(Table5101332337071[[#This Row],[Total]] * (1 - Table5101332337071[[#This Row],[Discount (%)]]) + Table5101332337071[[#This Row],[ΕΦΚ]]) * (1 + Table5101332337071[[#This Row],[TAX (%)]])</f>
        <v>2.591316</v>
      </c>
    </row>
    <row r="99" spans="1:12" x14ac:dyDescent="0.3">
      <c r="A99" s="12">
        <v>45973</v>
      </c>
      <c r="B99" s="51">
        <v>35532</v>
      </c>
      <c r="C99" s="3" t="s">
        <v>77</v>
      </c>
      <c r="D99" s="3" t="s">
        <v>225</v>
      </c>
      <c r="E99" s="3" t="s">
        <v>53</v>
      </c>
      <c r="F99" s="3">
        <v>1.5</v>
      </c>
      <c r="G99" s="19">
        <v>3.9</v>
      </c>
      <c r="H99" s="2">
        <f>Table5101332337071[[#This Row],[Quantity]]*Table5101332337071[[#This Row],[Unit Price]]</f>
        <v>5.85</v>
      </c>
      <c r="I99" s="4">
        <v>0.02</v>
      </c>
      <c r="J99" s="3"/>
      <c r="K99" s="4">
        <v>0.13</v>
      </c>
      <c r="L99" s="2">
        <f>(Table5101332337071[[#This Row],[Total]] * (1 - Table5101332337071[[#This Row],[Discount (%)]]) + Table5101332337071[[#This Row],[ΕΦΚ]]) * (1 + Table5101332337071[[#This Row],[TAX (%)]])</f>
        <v>6.4782899999999994</v>
      </c>
    </row>
    <row r="100" spans="1:12" x14ac:dyDescent="0.3">
      <c r="A100" s="12">
        <v>45973</v>
      </c>
      <c r="B100" s="51">
        <v>35532</v>
      </c>
      <c r="C100" s="3" t="s">
        <v>77</v>
      </c>
      <c r="D100" s="3" t="s">
        <v>226</v>
      </c>
      <c r="E100" s="3" t="s">
        <v>53</v>
      </c>
      <c r="F100" s="3">
        <v>3</v>
      </c>
      <c r="G100" s="19">
        <v>1.2</v>
      </c>
      <c r="H100" s="2">
        <f>Table5101332337071[[#This Row],[Quantity]]*Table5101332337071[[#This Row],[Unit Price]]</f>
        <v>3.5999999999999996</v>
      </c>
      <c r="I100" s="4">
        <v>0.02</v>
      </c>
      <c r="J100" s="3"/>
      <c r="K100" s="4">
        <v>0.13</v>
      </c>
      <c r="L100" s="2">
        <f>(Table5101332337071[[#This Row],[Total]] * (1 - Table5101332337071[[#This Row],[Discount (%)]]) + Table5101332337071[[#This Row],[ΕΦΚ]]) * (1 + Table5101332337071[[#This Row],[TAX (%)]])</f>
        <v>3.9866399999999991</v>
      </c>
    </row>
    <row r="101" spans="1:12" x14ac:dyDescent="0.3">
      <c r="A101" s="12">
        <v>45973</v>
      </c>
      <c r="B101" s="51">
        <v>35532</v>
      </c>
      <c r="C101" s="3" t="s">
        <v>77</v>
      </c>
      <c r="D101" s="3" t="s">
        <v>228</v>
      </c>
      <c r="E101" s="3" t="s">
        <v>53</v>
      </c>
      <c r="F101" s="3">
        <v>1.5</v>
      </c>
      <c r="G101" s="19">
        <v>1.8</v>
      </c>
      <c r="H101" s="2">
        <f>Table5101332337071[[#This Row],[Quantity]]*Table5101332337071[[#This Row],[Unit Price]]</f>
        <v>2.7</v>
      </c>
      <c r="I101" s="4">
        <v>0.02</v>
      </c>
      <c r="J101" s="3"/>
      <c r="K101" s="4">
        <v>0.13</v>
      </c>
      <c r="L101" s="2">
        <f>(Table5101332337071[[#This Row],[Total]] * (1 - Table5101332337071[[#This Row],[Discount (%)]]) + Table5101332337071[[#This Row],[ΕΦΚ]]) * (1 + Table5101332337071[[#This Row],[TAX (%)]])</f>
        <v>2.9899799999999996</v>
      </c>
    </row>
    <row r="102" spans="1:12" x14ac:dyDescent="0.3">
      <c r="A102" s="12">
        <v>45973</v>
      </c>
      <c r="B102" s="51">
        <v>35532</v>
      </c>
      <c r="C102" s="3" t="s">
        <v>77</v>
      </c>
      <c r="D102" s="3" t="s">
        <v>244</v>
      </c>
      <c r="E102" s="3" t="s">
        <v>53</v>
      </c>
      <c r="F102" s="3">
        <v>1.1000000000000001</v>
      </c>
      <c r="G102" s="19">
        <v>1.3</v>
      </c>
      <c r="H102" s="2">
        <f>Table5101332337071[[#This Row],[Quantity]]*Table5101332337071[[#This Row],[Unit Price]]</f>
        <v>1.4300000000000002</v>
      </c>
      <c r="I102" s="4">
        <v>0.02</v>
      </c>
      <c r="J102" s="3"/>
      <c r="K102" s="4">
        <v>0.13</v>
      </c>
      <c r="L102" s="2">
        <f>(Table5101332337071[[#This Row],[Total]] * (1 - Table5101332337071[[#This Row],[Discount (%)]]) + Table5101332337071[[#This Row],[ΕΦΚ]]) * (1 + Table5101332337071[[#This Row],[TAX (%)]])</f>
        <v>1.583582</v>
      </c>
    </row>
    <row r="103" spans="1:12" x14ac:dyDescent="0.3">
      <c r="A103" s="12">
        <v>45971</v>
      </c>
      <c r="B103" s="51">
        <v>35508</v>
      </c>
      <c r="C103" s="3" t="s">
        <v>77</v>
      </c>
      <c r="D103" s="3" t="s">
        <v>245</v>
      </c>
      <c r="E103" s="3" t="s">
        <v>53</v>
      </c>
      <c r="F103" s="3">
        <v>9.4</v>
      </c>
      <c r="G103" s="19">
        <v>1.45</v>
      </c>
      <c r="H103" s="2">
        <f>Table5101332337071[[#This Row],[Quantity]]*Table5101332337071[[#This Row],[Unit Price]]</f>
        <v>13.63</v>
      </c>
      <c r="I103" s="4">
        <v>0</v>
      </c>
      <c r="J103" s="3"/>
      <c r="K103" s="4">
        <v>0.13</v>
      </c>
      <c r="L103" s="2">
        <f>(Table5101332337071[[#This Row],[Total]] * (1 - Table5101332337071[[#This Row],[Discount (%)]]) + Table5101332337071[[#This Row],[ΕΦΚ]]) * (1 + Table5101332337071[[#This Row],[TAX (%)]])</f>
        <v>15.401899999999999</v>
      </c>
    </row>
    <row r="104" spans="1:12" x14ac:dyDescent="0.3">
      <c r="A104" s="12">
        <v>45971</v>
      </c>
      <c r="B104" s="51">
        <v>35508</v>
      </c>
      <c r="C104" s="3" t="s">
        <v>77</v>
      </c>
      <c r="D104" s="3" t="s">
        <v>226</v>
      </c>
      <c r="E104" s="3" t="s">
        <v>53</v>
      </c>
      <c r="F104" s="3">
        <v>3</v>
      </c>
      <c r="G104" s="19">
        <v>1.2</v>
      </c>
      <c r="H104" s="2">
        <f>Table5101332337071[[#This Row],[Quantity]]*Table5101332337071[[#This Row],[Unit Price]]</f>
        <v>3.5999999999999996</v>
      </c>
      <c r="I104" s="4">
        <v>0</v>
      </c>
      <c r="J104" s="3"/>
      <c r="K104" s="4">
        <v>0.13</v>
      </c>
      <c r="L104" s="2">
        <f>(Table5101332337071[[#This Row],[Total]] * (1 - Table5101332337071[[#This Row],[Discount (%)]]) + Table5101332337071[[#This Row],[ΕΦΚ]]) * (1 + Table5101332337071[[#This Row],[TAX (%)]])</f>
        <v>4.0679999999999996</v>
      </c>
    </row>
    <row r="105" spans="1:12" x14ac:dyDescent="0.3">
      <c r="A105" s="12">
        <v>45968</v>
      </c>
      <c r="B105" s="51">
        <v>35467</v>
      </c>
      <c r="C105" s="3" t="s">
        <v>77</v>
      </c>
      <c r="D105" s="3" t="s">
        <v>245</v>
      </c>
      <c r="E105" s="3" t="s">
        <v>53</v>
      </c>
      <c r="F105" s="3">
        <v>9.4</v>
      </c>
      <c r="G105" s="19">
        <v>1.45</v>
      </c>
      <c r="H105" s="2">
        <f>Table5101332337071[[#This Row],[Quantity]]*Table5101332337071[[#This Row],[Unit Price]]</f>
        <v>13.63</v>
      </c>
      <c r="I105" s="4">
        <v>0.02</v>
      </c>
      <c r="J105" s="3"/>
      <c r="K105" s="4">
        <v>0.13</v>
      </c>
      <c r="L105" s="2">
        <f>(Table5101332337071[[#This Row],[Total]] * (1 - Table5101332337071[[#This Row],[Discount (%)]]) + Table5101332337071[[#This Row],[ΕΦΚ]]) * (1 + Table5101332337071[[#This Row],[TAX (%)]])</f>
        <v>15.093861999999998</v>
      </c>
    </row>
    <row r="106" spans="1:12" x14ac:dyDescent="0.3">
      <c r="A106" s="12">
        <v>45968</v>
      </c>
      <c r="B106" s="51">
        <v>35467</v>
      </c>
      <c r="C106" s="3" t="s">
        <v>77</v>
      </c>
      <c r="D106" s="3" t="s">
        <v>246</v>
      </c>
      <c r="E106" s="3" t="s">
        <v>53</v>
      </c>
      <c r="F106" s="3">
        <v>4</v>
      </c>
      <c r="G106" s="19">
        <v>1.1499999999999999</v>
      </c>
      <c r="H106" s="2">
        <f>Table5101332337071[[#This Row],[Quantity]]*Table5101332337071[[#This Row],[Unit Price]]</f>
        <v>4.5999999999999996</v>
      </c>
      <c r="I106" s="4">
        <v>0.02</v>
      </c>
      <c r="J106" s="3"/>
      <c r="K106" s="4">
        <v>0.13</v>
      </c>
      <c r="L106" s="2">
        <f>(Table5101332337071[[#This Row],[Total]] * (1 - Table5101332337071[[#This Row],[Discount (%)]]) + Table5101332337071[[#This Row],[ΕΦΚ]]) * (1 + Table5101332337071[[#This Row],[TAX (%)]])</f>
        <v>5.0940399999999997</v>
      </c>
    </row>
    <row r="107" spans="1:12" x14ac:dyDescent="0.3">
      <c r="A107" s="12">
        <v>45967</v>
      </c>
      <c r="B107" s="51">
        <v>35447</v>
      </c>
      <c r="C107" s="3" t="s">
        <v>77</v>
      </c>
      <c r="D107" s="3" t="s">
        <v>245</v>
      </c>
      <c r="E107" s="3" t="s">
        <v>53</v>
      </c>
      <c r="F107" s="3">
        <v>1.8</v>
      </c>
      <c r="G107" s="19">
        <v>1.45</v>
      </c>
      <c r="H107" s="2">
        <f>Table5101332337071[[#This Row],[Quantity]]*Table5101332337071[[#This Row],[Unit Price]]</f>
        <v>2.61</v>
      </c>
      <c r="I107" s="4">
        <v>0.02</v>
      </c>
      <c r="J107" s="3"/>
      <c r="K107" s="4">
        <v>0.13</v>
      </c>
      <c r="L107" s="2">
        <f>(Table5101332337071[[#This Row],[Total]] * (1 - Table5101332337071[[#This Row],[Discount (%)]]) + Table5101332337071[[#This Row],[ΕΦΚ]]) * (1 + Table5101332337071[[#This Row],[TAX (%)]])</f>
        <v>2.8903139999999996</v>
      </c>
    </row>
    <row r="108" spans="1:12" x14ac:dyDescent="0.3">
      <c r="A108" s="12">
        <v>45967</v>
      </c>
      <c r="B108" s="51">
        <v>35447</v>
      </c>
      <c r="C108" s="3" t="s">
        <v>77</v>
      </c>
      <c r="D108" s="3" t="s">
        <v>228</v>
      </c>
      <c r="E108" s="3" t="s">
        <v>53</v>
      </c>
      <c r="F108" s="3">
        <v>1.3</v>
      </c>
      <c r="G108" s="19">
        <v>1.8</v>
      </c>
      <c r="H108" s="2">
        <f>Table5101332337071[[#This Row],[Quantity]]*Table5101332337071[[#This Row],[Unit Price]]</f>
        <v>2.3400000000000003</v>
      </c>
      <c r="I108" s="4">
        <v>0.02</v>
      </c>
      <c r="J108" s="3"/>
      <c r="K108" s="4">
        <v>0.13</v>
      </c>
      <c r="L108" s="2">
        <f>(Table5101332337071[[#This Row],[Total]] * (1 - Table5101332337071[[#This Row],[Discount (%)]]) + Table5101332337071[[#This Row],[ΕΦΚ]]) * (1 + Table5101332337071[[#This Row],[TAX (%)]])</f>
        <v>2.591316</v>
      </c>
    </row>
    <row r="109" spans="1:12" x14ac:dyDescent="0.3">
      <c r="A109" s="12">
        <v>45967</v>
      </c>
      <c r="B109" s="51">
        <v>35447</v>
      </c>
      <c r="C109" s="3" t="s">
        <v>77</v>
      </c>
      <c r="D109" s="3" t="s">
        <v>229</v>
      </c>
      <c r="E109" s="3" t="s">
        <v>53</v>
      </c>
      <c r="F109" s="3">
        <v>1.5</v>
      </c>
      <c r="G109" s="19">
        <v>2.4</v>
      </c>
      <c r="H109" s="2">
        <f>Table5101332337071[[#This Row],[Quantity]]*Table5101332337071[[#This Row],[Unit Price]]</f>
        <v>3.5999999999999996</v>
      </c>
      <c r="I109" s="4">
        <v>0.02</v>
      </c>
      <c r="J109" s="3"/>
      <c r="K109" s="4">
        <v>0.13</v>
      </c>
      <c r="L109" s="2">
        <f>(Table5101332337071[[#This Row],[Total]] * (1 - Table5101332337071[[#This Row],[Discount (%)]]) + Table5101332337071[[#This Row],[ΕΦΚ]]) * (1 + Table5101332337071[[#This Row],[TAX (%)]])</f>
        <v>3.9866399999999991</v>
      </c>
    </row>
    <row r="110" spans="1:12" x14ac:dyDescent="0.3">
      <c r="A110" s="12">
        <v>45967</v>
      </c>
      <c r="B110" s="51">
        <v>35447</v>
      </c>
      <c r="C110" s="3" t="s">
        <v>77</v>
      </c>
      <c r="D110" s="3" t="s">
        <v>240</v>
      </c>
      <c r="E110" s="3" t="s">
        <v>53</v>
      </c>
      <c r="F110" s="3">
        <v>1.4</v>
      </c>
      <c r="G110" s="19">
        <v>3</v>
      </c>
      <c r="H110" s="2">
        <f>Table5101332337071[[#This Row],[Quantity]]*Table5101332337071[[#This Row],[Unit Price]]</f>
        <v>4.1999999999999993</v>
      </c>
      <c r="I110" s="4">
        <v>0.02</v>
      </c>
      <c r="J110" s="3"/>
      <c r="K110" s="4">
        <v>0.13</v>
      </c>
      <c r="L110" s="2">
        <f>(Table5101332337071[[#This Row],[Total]] * (1 - Table5101332337071[[#This Row],[Discount (%)]]) + Table5101332337071[[#This Row],[ΕΦΚ]]) * (1 + Table5101332337071[[#This Row],[TAX (%)]])</f>
        <v>4.6510799999999994</v>
      </c>
    </row>
    <row r="111" spans="1:12" x14ac:dyDescent="0.3">
      <c r="A111" s="12">
        <v>45967</v>
      </c>
      <c r="B111" s="51">
        <v>35447</v>
      </c>
      <c r="C111" s="3" t="s">
        <v>77</v>
      </c>
      <c r="D111" s="3" t="s">
        <v>224</v>
      </c>
      <c r="E111" s="3" t="s">
        <v>53</v>
      </c>
      <c r="F111" s="3">
        <v>1.8</v>
      </c>
      <c r="G111" s="19">
        <v>1.8</v>
      </c>
      <c r="H111" s="2">
        <f>Table5101332337071[[#This Row],[Quantity]]*Table5101332337071[[#This Row],[Unit Price]]</f>
        <v>3.24</v>
      </c>
      <c r="I111" s="4">
        <v>0.02</v>
      </c>
      <c r="J111" s="3"/>
      <c r="K111" s="4">
        <v>0.13</v>
      </c>
      <c r="L111" s="2">
        <f>(Table5101332337071[[#This Row],[Total]] * (1 - Table5101332337071[[#This Row],[Discount (%)]]) + Table5101332337071[[#This Row],[ΕΦΚ]]) * (1 + Table5101332337071[[#This Row],[TAX (%)]])</f>
        <v>3.5879759999999998</v>
      </c>
    </row>
    <row r="112" spans="1:12" x14ac:dyDescent="0.3">
      <c r="A112" s="12">
        <v>45967</v>
      </c>
      <c r="B112" s="51">
        <v>35447</v>
      </c>
      <c r="C112" s="3" t="s">
        <v>77</v>
      </c>
      <c r="D112" s="3" t="s">
        <v>238</v>
      </c>
      <c r="E112" s="3" t="s">
        <v>53</v>
      </c>
      <c r="F112" s="3">
        <v>0.7</v>
      </c>
      <c r="G112" s="19">
        <v>2.2000000000000002</v>
      </c>
      <c r="H112" s="2">
        <f>Table5101332337071[[#This Row],[Quantity]]*Table5101332337071[[#This Row],[Unit Price]]</f>
        <v>1.54</v>
      </c>
      <c r="I112" s="4">
        <v>0.02</v>
      </c>
      <c r="J112" s="3"/>
      <c r="K112" s="4">
        <v>0.13</v>
      </c>
      <c r="L112" s="2">
        <f>(Table5101332337071[[#This Row],[Total]] * (1 - Table5101332337071[[#This Row],[Discount (%)]]) + Table5101332337071[[#This Row],[ΕΦΚ]]) * (1 + Table5101332337071[[#This Row],[TAX (%)]])</f>
        <v>1.7053959999999999</v>
      </c>
    </row>
    <row r="113" spans="1:12" x14ac:dyDescent="0.3">
      <c r="A113" s="12">
        <v>45967</v>
      </c>
      <c r="B113" s="51">
        <v>35447</v>
      </c>
      <c r="C113" s="3" t="s">
        <v>77</v>
      </c>
      <c r="D113" s="3" t="s">
        <v>247</v>
      </c>
      <c r="E113" s="3" t="s">
        <v>53</v>
      </c>
      <c r="F113" s="3">
        <v>1.4</v>
      </c>
      <c r="G113" s="19">
        <v>0.85</v>
      </c>
      <c r="H113" s="2">
        <f>Table5101332337071[[#This Row],[Quantity]]*Table5101332337071[[#This Row],[Unit Price]]</f>
        <v>1.19</v>
      </c>
      <c r="I113" s="4">
        <v>0.02</v>
      </c>
      <c r="J113" s="3"/>
      <c r="K113" s="4">
        <v>0.13</v>
      </c>
      <c r="L113" s="2">
        <f>(Table5101332337071[[#This Row],[Total]] * (1 - Table5101332337071[[#This Row],[Discount (%)]]) + Table5101332337071[[#This Row],[ΕΦΚ]]) * (1 + Table5101332337071[[#This Row],[TAX (%)]])</f>
        <v>1.3178059999999998</v>
      </c>
    </row>
    <row r="114" spans="1:12" x14ac:dyDescent="0.3">
      <c r="A114" s="12">
        <v>45961</v>
      </c>
      <c r="B114" s="51">
        <v>35354</v>
      </c>
      <c r="C114" s="3" t="s">
        <v>77</v>
      </c>
      <c r="D114" s="3" t="s">
        <v>245</v>
      </c>
      <c r="E114" s="3" t="s">
        <v>53</v>
      </c>
      <c r="F114" s="3">
        <v>18.7</v>
      </c>
      <c r="G114" s="19">
        <v>1.45</v>
      </c>
      <c r="H114" s="2">
        <f>Table5101332337071[[#This Row],[Quantity]]*Table5101332337071[[#This Row],[Unit Price]]</f>
        <v>27.114999999999998</v>
      </c>
      <c r="I114" s="4">
        <v>0.02</v>
      </c>
      <c r="J114" s="3"/>
      <c r="K114" s="4">
        <v>0.13</v>
      </c>
      <c r="L114" s="2">
        <f>(Table5101332337071[[#This Row],[Total]] * (1 - Table5101332337071[[#This Row],[Discount (%)]]) + Table5101332337071[[#This Row],[ΕΦΚ]]) * (1 + Table5101332337071[[#This Row],[TAX (%)]])</f>
        <v>30.027150999999993</v>
      </c>
    </row>
    <row r="115" spans="1:12" x14ac:dyDescent="0.3">
      <c r="A115" s="12">
        <v>45961</v>
      </c>
      <c r="B115" s="51">
        <v>35354</v>
      </c>
      <c r="C115" s="3" t="s">
        <v>77</v>
      </c>
      <c r="D115" s="3" t="s">
        <v>248</v>
      </c>
      <c r="E115" s="3" t="s">
        <v>53</v>
      </c>
      <c r="F115" s="3">
        <v>1.6</v>
      </c>
      <c r="G115" s="19">
        <v>4.2</v>
      </c>
      <c r="H115" s="2">
        <f>Table5101332337071[[#This Row],[Quantity]]*Table5101332337071[[#This Row],[Unit Price]]</f>
        <v>6.7200000000000006</v>
      </c>
      <c r="I115" s="4">
        <v>0.02</v>
      </c>
      <c r="J115" s="3"/>
      <c r="K115" s="4">
        <v>0.13</v>
      </c>
      <c r="L115" s="2">
        <f>(Table5101332337071[[#This Row],[Total]] * (1 - Table5101332337071[[#This Row],[Discount (%)]]) + Table5101332337071[[#This Row],[ΕΦΚ]]) * (1 + Table5101332337071[[#This Row],[TAX (%)]])</f>
        <v>7.4417279999999995</v>
      </c>
    </row>
    <row r="116" spans="1:12" x14ac:dyDescent="0.3">
      <c r="A116" s="12">
        <v>45961</v>
      </c>
      <c r="B116" s="51">
        <v>35354</v>
      </c>
      <c r="C116" s="3" t="s">
        <v>77</v>
      </c>
      <c r="D116" s="3" t="s">
        <v>242</v>
      </c>
      <c r="E116" s="3" t="s">
        <v>53</v>
      </c>
      <c r="F116" s="3">
        <v>3</v>
      </c>
      <c r="G116" s="19">
        <v>0.7</v>
      </c>
      <c r="H116" s="2">
        <f>Table5101332337071[[#This Row],[Quantity]]*Table5101332337071[[#This Row],[Unit Price]]</f>
        <v>2.0999999999999996</v>
      </c>
      <c r="I116" s="4">
        <v>0.02</v>
      </c>
      <c r="J116" s="3"/>
      <c r="K116" s="4">
        <v>0.13</v>
      </c>
      <c r="L116" s="2">
        <f>(Table5101332337071[[#This Row],[Total]] * (1 - Table5101332337071[[#This Row],[Discount (%)]]) + Table5101332337071[[#This Row],[ΕΦΚ]]) * (1 + Table5101332337071[[#This Row],[TAX (%)]])</f>
        <v>2.3255399999999997</v>
      </c>
    </row>
    <row r="117" spans="1:12" x14ac:dyDescent="0.3">
      <c r="A117" s="12">
        <v>45961</v>
      </c>
      <c r="B117" s="51">
        <v>35354</v>
      </c>
      <c r="C117" s="3" t="s">
        <v>77</v>
      </c>
      <c r="D117" s="3" t="s">
        <v>224</v>
      </c>
      <c r="E117" s="3" t="s">
        <v>53</v>
      </c>
      <c r="F117" s="3">
        <v>1.3</v>
      </c>
      <c r="G117" s="19">
        <v>1.85</v>
      </c>
      <c r="H117" s="2">
        <f>Table5101332337071[[#This Row],[Quantity]]*Table5101332337071[[#This Row],[Unit Price]]</f>
        <v>2.4050000000000002</v>
      </c>
      <c r="I117" s="4">
        <v>0.02</v>
      </c>
      <c r="J117" s="3"/>
      <c r="K117" s="4">
        <v>0.13</v>
      </c>
      <c r="L117" s="2">
        <f>(Table5101332337071[[#This Row],[Total]] * (1 - Table5101332337071[[#This Row],[Discount (%)]]) + Table5101332337071[[#This Row],[ΕΦΚ]]) * (1 + Table5101332337071[[#This Row],[TAX (%)]])</f>
        <v>2.6632969999999996</v>
      </c>
    </row>
    <row r="118" spans="1:12" x14ac:dyDescent="0.3">
      <c r="A118" s="12">
        <v>45961</v>
      </c>
      <c r="B118" s="51">
        <v>35354</v>
      </c>
      <c r="C118" s="3" t="s">
        <v>77</v>
      </c>
      <c r="D118" s="3" t="s">
        <v>249</v>
      </c>
      <c r="E118" s="3" t="s">
        <v>53</v>
      </c>
      <c r="F118" s="3">
        <v>2</v>
      </c>
      <c r="G118" s="19">
        <v>2.6</v>
      </c>
      <c r="H118" s="2">
        <f>Table5101332337071[[#This Row],[Quantity]]*Table5101332337071[[#This Row],[Unit Price]]</f>
        <v>5.2</v>
      </c>
      <c r="I118" s="4">
        <v>0.02</v>
      </c>
      <c r="J118" s="3"/>
      <c r="K118" s="4">
        <v>0.13</v>
      </c>
      <c r="L118" s="2">
        <f>(Table5101332337071[[#This Row],[Total]] * (1 - Table5101332337071[[#This Row],[Discount (%)]]) + Table5101332337071[[#This Row],[ΕΦΚ]]) * (1 + Table5101332337071[[#This Row],[TAX (%)]])</f>
        <v>5.7584799999999996</v>
      </c>
    </row>
    <row r="119" spans="1:12" x14ac:dyDescent="0.3">
      <c r="A119" s="12">
        <v>45961</v>
      </c>
      <c r="B119" s="51">
        <v>35354</v>
      </c>
      <c r="C119" s="3" t="s">
        <v>77</v>
      </c>
      <c r="D119" s="3" t="s">
        <v>225</v>
      </c>
      <c r="E119" s="3" t="s">
        <v>53</v>
      </c>
      <c r="F119" s="3">
        <v>1.7</v>
      </c>
      <c r="G119" s="19">
        <v>4.8</v>
      </c>
      <c r="H119" s="2">
        <f>Table5101332337071[[#This Row],[Quantity]]*Table5101332337071[[#This Row],[Unit Price]]</f>
        <v>8.16</v>
      </c>
      <c r="I119" s="4">
        <v>0.02</v>
      </c>
      <c r="J119" s="3"/>
      <c r="K119" s="4">
        <v>0.13</v>
      </c>
      <c r="L119" s="2">
        <f>(Table5101332337071[[#This Row],[Total]] * (1 - Table5101332337071[[#This Row],[Discount (%)]]) + Table5101332337071[[#This Row],[ΕΦΚ]]) * (1 + Table5101332337071[[#This Row],[TAX (%)]])</f>
        <v>9.036384</v>
      </c>
    </row>
    <row r="120" spans="1:12" x14ac:dyDescent="0.3">
      <c r="A120" s="12">
        <v>45961</v>
      </c>
      <c r="B120" s="51">
        <v>35354</v>
      </c>
      <c r="C120" s="3" t="s">
        <v>77</v>
      </c>
      <c r="D120" s="3" t="s">
        <v>232</v>
      </c>
      <c r="E120" s="3" t="s">
        <v>53</v>
      </c>
      <c r="F120" s="3">
        <v>0.5</v>
      </c>
      <c r="G120" s="19">
        <v>1.8</v>
      </c>
      <c r="H120" s="2">
        <f>Table5101332337071[[#This Row],[Quantity]]*Table5101332337071[[#This Row],[Unit Price]]</f>
        <v>0.9</v>
      </c>
      <c r="I120" s="4">
        <v>0.02</v>
      </c>
      <c r="J120" s="3"/>
      <c r="K120" s="4">
        <v>0.13</v>
      </c>
      <c r="L120" s="2">
        <f>(Table5101332337071[[#This Row],[Total]] * (1 - Table5101332337071[[#This Row],[Discount (%)]]) + Table5101332337071[[#This Row],[ΕΦΚ]]) * (1 + Table5101332337071[[#This Row],[TAX (%)]])</f>
        <v>0.99665999999999988</v>
      </c>
    </row>
    <row r="121" spans="1:12" x14ac:dyDescent="0.3">
      <c r="A121" s="12">
        <v>45961</v>
      </c>
      <c r="B121" s="51">
        <v>35354</v>
      </c>
      <c r="C121" s="3" t="s">
        <v>77</v>
      </c>
      <c r="D121" s="3" t="s">
        <v>226</v>
      </c>
      <c r="E121" s="3" t="s">
        <v>53</v>
      </c>
      <c r="F121" s="3">
        <v>3</v>
      </c>
      <c r="G121" s="19">
        <v>1.1499999999999999</v>
      </c>
      <c r="H121" s="2">
        <f>Table5101332337071[[#This Row],[Quantity]]*Table5101332337071[[#This Row],[Unit Price]]</f>
        <v>3.4499999999999997</v>
      </c>
      <c r="I121" s="4">
        <v>0.02</v>
      </c>
      <c r="J121" s="3"/>
      <c r="K121" s="4">
        <v>0.13</v>
      </c>
      <c r="L121" s="2">
        <f>(Table5101332337071[[#This Row],[Total]] * (1 - Table5101332337071[[#This Row],[Discount (%)]]) + Table5101332337071[[#This Row],[ΕΦΚ]]) * (1 + Table5101332337071[[#This Row],[TAX (%)]])</f>
        <v>3.8205299999999993</v>
      </c>
    </row>
    <row r="122" spans="1:12" x14ac:dyDescent="0.3">
      <c r="A122" s="12">
        <v>45957</v>
      </c>
      <c r="B122" s="51">
        <v>35237</v>
      </c>
      <c r="C122" s="3" t="s">
        <v>77</v>
      </c>
      <c r="D122" s="3" t="s">
        <v>245</v>
      </c>
      <c r="E122" s="3" t="s">
        <v>53</v>
      </c>
      <c r="F122" s="3">
        <v>9.6999999999999993</v>
      </c>
      <c r="G122" s="19">
        <v>1.45</v>
      </c>
      <c r="H122" s="2">
        <f>Table5101332337071[[#This Row],[Quantity]]*Table5101332337071[[#This Row],[Unit Price]]</f>
        <v>14.064999999999998</v>
      </c>
      <c r="I122" s="4">
        <v>0.02</v>
      </c>
      <c r="J122" s="3"/>
      <c r="K122" s="4">
        <v>0.13</v>
      </c>
      <c r="L122" s="2">
        <f>(Table5101332337071[[#This Row],[Total]] * (1 - Table5101332337071[[#This Row],[Discount (%)]]) + Table5101332337071[[#This Row],[ΕΦΚ]]) * (1 + Table5101332337071[[#This Row],[TAX (%)]])</f>
        <v>15.575580999999996</v>
      </c>
    </row>
    <row r="123" spans="1:12" x14ac:dyDescent="0.3">
      <c r="A123" s="12">
        <v>45957</v>
      </c>
      <c r="B123" s="51">
        <v>35237</v>
      </c>
      <c r="C123" s="3" t="s">
        <v>77</v>
      </c>
      <c r="D123" s="3" t="s">
        <v>228</v>
      </c>
      <c r="E123" s="3" t="s">
        <v>53</v>
      </c>
      <c r="F123" s="3">
        <v>1</v>
      </c>
      <c r="G123" s="19">
        <v>1.9</v>
      </c>
      <c r="H123" s="2">
        <f>Table5101332337071[[#This Row],[Quantity]]*Table5101332337071[[#This Row],[Unit Price]]</f>
        <v>1.9</v>
      </c>
      <c r="I123" s="4">
        <v>0.02</v>
      </c>
      <c r="J123" s="3"/>
      <c r="K123" s="4">
        <v>0.13</v>
      </c>
      <c r="L123" s="2">
        <f>(Table5101332337071[[#This Row],[Total]] * (1 - Table5101332337071[[#This Row],[Discount (%)]]) + Table5101332337071[[#This Row],[ΕΦΚ]]) * (1 + Table5101332337071[[#This Row],[TAX (%)]])</f>
        <v>2.1040599999999996</v>
      </c>
    </row>
    <row r="124" spans="1:12" x14ac:dyDescent="0.3">
      <c r="A124" s="12">
        <v>45957</v>
      </c>
      <c r="B124" s="51">
        <v>35237</v>
      </c>
      <c r="C124" s="3" t="s">
        <v>77</v>
      </c>
      <c r="D124" s="3" t="s">
        <v>230</v>
      </c>
      <c r="E124" s="3" t="s">
        <v>53</v>
      </c>
      <c r="F124" s="3">
        <v>1.5</v>
      </c>
      <c r="G124" s="19">
        <v>1.45</v>
      </c>
      <c r="H124" s="2">
        <f>Table5101332337071[[#This Row],[Quantity]]*Table5101332337071[[#This Row],[Unit Price]]</f>
        <v>2.1749999999999998</v>
      </c>
      <c r="I124" s="4">
        <v>0.02</v>
      </c>
      <c r="J124" s="3"/>
      <c r="K124" s="4">
        <v>0.13</v>
      </c>
      <c r="L124" s="2">
        <f>(Table5101332337071[[#This Row],[Total]] * (1 - Table5101332337071[[#This Row],[Discount (%)]]) + Table5101332337071[[#This Row],[ΕΦΚ]]) * (1 + Table5101332337071[[#This Row],[TAX (%)]])</f>
        <v>2.4085949999999996</v>
      </c>
    </row>
    <row r="125" spans="1:12" x14ac:dyDescent="0.3">
      <c r="A125" s="12">
        <v>45957</v>
      </c>
      <c r="B125" s="51">
        <v>35237</v>
      </c>
      <c r="C125" s="3" t="s">
        <v>77</v>
      </c>
      <c r="D125" s="3" t="s">
        <v>232</v>
      </c>
      <c r="E125" s="3" t="s">
        <v>53</v>
      </c>
      <c r="F125" s="3">
        <v>1</v>
      </c>
      <c r="G125" s="19">
        <v>1.8</v>
      </c>
      <c r="H125" s="2">
        <f>Table5101332337071[[#This Row],[Quantity]]*Table5101332337071[[#This Row],[Unit Price]]</f>
        <v>1.8</v>
      </c>
      <c r="I125" s="4">
        <v>0.02</v>
      </c>
      <c r="J125" s="3"/>
      <c r="K125" s="4">
        <v>0.13</v>
      </c>
      <c r="L125" s="2">
        <f>(Table5101332337071[[#This Row],[Total]] * (1 - Table5101332337071[[#This Row],[Discount (%)]]) + Table5101332337071[[#This Row],[ΕΦΚ]]) * (1 + Table5101332337071[[#This Row],[TAX (%)]])</f>
        <v>1.9933199999999998</v>
      </c>
    </row>
    <row r="126" spans="1:12" x14ac:dyDescent="0.3">
      <c r="A126" s="12">
        <v>45957</v>
      </c>
      <c r="B126" s="51">
        <v>35237</v>
      </c>
      <c r="C126" s="3" t="s">
        <v>77</v>
      </c>
      <c r="D126" s="3" t="s">
        <v>226</v>
      </c>
      <c r="E126" s="3" t="s">
        <v>53</v>
      </c>
      <c r="F126" s="3">
        <v>4</v>
      </c>
      <c r="G126" s="19">
        <v>1.2</v>
      </c>
      <c r="H126" s="2">
        <f>Table5101332337071[[#This Row],[Quantity]]*Table5101332337071[[#This Row],[Unit Price]]</f>
        <v>4.8</v>
      </c>
      <c r="I126" s="4">
        <v>0.02</v>
      </c>
      <c r="J126" s="3"/>
      <c r="K126" s="4">
        <v>0.13</v>
      </c>
      <c r="L126" s="2">
        <f>(Table5101332337071[[#This Row],[Total]] * (1 - Table5101332337071[[#This Row],[Discount (%)]]) + Table5101332337071[[#This Row],[ΕΦΚ]]) * (1 + Table5101332337071[[#This Row],[TAX (%)]])</f>
        <v>5.3155199999999994</v>
      </c>
    </row>
    <row r="127" spans="1:12" x14ac:dyDescent="0.3">
      <c r="A127" s="12">
        <v>45955</v>
      </c>
      <c r="B127" s="51">
        <v>35198</v>
      </c>
      <c r="C127" s="3" t="s">
        <v>77</v>
      </c>
      <c r="D127" s="3" t="s">
        <v>245</v>
      </c>
      <c r="E127" s="3" t="s">
        <v>53</v>
      </c>
      <c r="F127" s="3">
        <v>9.6</v>
      </c>
      <c r="G127" s="19">
        <v>1.45</v>
      </c>
      <c r="H127" s="2">
        <f>Table5101332337071[[#This Row],[Quantity]]*Table5101332337071[[#This Row],[Unit Price]]</f>
        <v>13.92</v>
      </c>
      <c r="I127" s="4">
        <v>0.02</v>
      </c>
      <c r="J127" s="3"/>
      <c r="K127" s="4">
        <v>0.13</v>
      </c>
      <c r="L127" s="2">
        <f>(Table5101332337071[[#This Row],[Total]] * (1 - Table5101332337071[[#This Row],[Discount (%)]]) + Table5101332337071[[#This Row],[ΕΦΚ]]) * (1 + Table5101332337071[[#This Row],[TAX (%)]])</f>
        <v>15.415007999999998</v>
      </c>
    </row>
    <row r="128" spans="1:12" x14ac:dyDescent="0.3">
      <c r="A128" s="12">
        <v>45955</v>
      </c>
      <c r="B128" s="51">
        <v>35198</v>
      </c>
      <c r="C128" s="3" t="s">
        <v>77</v>
      </c>
      <c r="D128" s="3" t="s">
        <v>226</v>
      </c>
      <c r="E128" s="3" t="s">
        <v>53</v>
      </c>
      <c r="F128" s="3">
        <v>3</v>
      </c>
      <c r="G128" s="19">
        <v>1.2</v>
      </c>
      <c r="H128" s="2">
        <f>Table5101332337071[[#This Row],[Quantity]]*Table5101332337071[[#This Row],[Unit Price]]</f>
        <v>3.5999999999999996</v>
      </c>
      <c r="I128" s="4">
        <v>0.02</v>
      </c>
      <c r="J128" s="3"/>
      <c r="K128" s="4">
        <v>0.13</v>
      </c>
      <c r="L128" s="2">
        <f>(Table5101332337071[[#This Row],[Total]] * (1 - Table5101332337071[[#This Row],[Discount (%)]]) + Table5101332337071[[#This Row],[ΕΦΚ]]) * (1 + Table5101332337071[[#This Row],[TAX (%)]])</f>
        <v>3.9866399999999991</v>
      </c>
    </row>
    <row r="129" spans="1:12" x14ac:dyDescent="0.3">
      <c r="A129" s="12">
        <v>45954</v>
      </c>
      <c r="B129" s="51">
        <v>35164</v>
      </c>
      <c r="C129" s="3" t="s">
        <v>77</v>
      </c>
      <c r="D129" s="3" t="s">
        <v>248</v>
      </c>
      <c r="E129" s="3" t="s">
        <v>53</v>
      </c>
      <c r="F129" s="3">
        <v>2</v>
      </c>
      <c r="G129" s="19">
        <v>4.2</v>
      </c>
      <c r="H129" s="2">
        <f>Table5101332337071[[#This Row],[Quantity]]*Table5101332337071[[#This Row],[Unit Price]]</f>
        <v>8.4</v>
      </c>
      <c r="I129" s="4">
        <v>0.02</v>
      </c>
      <c r="J129" s="3"/>
      <c r="K129" s="4">
        <v>0.13</v>
      </c>
      <c r="L129" s="2">
        <f>(Table5101332337071[[#This Row],[Total]] * (1 - Table5101332337071[[#This Row],[Discount (%)]]) + Table5101332337071[[#This Row],[ΕΦΚ]]) * (1 + Table5101332337071[[#This Row],[TAX (%)]])</f>
        <v>9.3021599999999989</v>
      </c>
    </row>
    <row r="130" spans="1:12" x14ac:dyDescent="0.3">
      <c r="A130" s="12">
        <v>45954</v>
      </c>
      <c r="B130" s="51">
        <v>35164</v>
      </c>
      <c r="C130" s="3" t="s">
        <v>77</v>
      </c>
      <c r="D130" s="3" t="s">
        <v>224</v>
      </c>
      <c r="E130" s="3" t="s">
        <v>53</v>
      </c>
      <c r="F130" s="3">
        <v>1.7</v>
      </c>
      <c r="G130" s="19">
        <v>1.85</v>
      </c>
      <c r="H130" s="2">
        <f>Table5101332337071[[#This Row],[Quantity]]*Table5101332337071[[#This Row],[Unit Price]]</f>
        <v>3.145</v>
      </c>
      <c r="I130" s="4">
        <v>0.02</v>
      </c>
      <c r="J130" s="3"/>
      <c r="K130" s="4">
        <v>0.13</v>
      </c>
      <c r="L130" s="2">
        <f>(Table5101332337071[[#This Row],[Total]] * (1 - Table5101332337071[[#This Row],[Discount (%)]]) + Table5101332337071[[#This Row],[ΕΦΚ]]) * (1 + Table5101332337071[[#This Row],[TAX (%)]])</f>
        <v>3.4827729999999999</v>
      </c>
    </row>
    <row r="131" spans="1:12" x14ac:dyDescent="0.3">
      <c r="A131" s="12">
        <v>45954</v>
      </c>
      <c r="B131" s="51">
        <v>35164</v>
      </c>
      <c r="C131" s="3" t="s">
        <v>77</v>
      </c>
      <c r="D131" s="3" t="s">
        <v>238</v>
      </c>
      <c r="E131" s="3" t="s">
        <v>53</v>
      </c>
      <c r="F131" s="3">
        <v>0.4</v>
      </c>
      <c r="G131" s="19">
        <v>2.6</v>
      </c>
      <c r="H131" s="2">
        <f>Table5101332337071[[#This Row],[Quantity]]*Table5101332337071[[#This Row],[Unit Price]]</f>
        <v>1.04</v>
      </c>
      <c r="I131" s="4">
        <v>0.02</v>
      </c>
      <c r="J131" s="3"/>
      <c r="K131" s="4">
        <v>0.13</v>
      </c>
      <c r="L131" s="2">
        <f>(Table5101332337071[[#This Row],[Total]] * (1 - Table5101332337071[[#This Row],[Discount (%)]]) + Table5101332337071[[#This Row],[ΕΦΚ]]) * (1 + Table5101332337071[[#This Row],[TAX (%)]])</f>
        <v>1.1516960000000001</v>
      </c>
    </row>
    <row r="132" spans="1:12" x14ac:dyDescent="0.3">
      <c r="A132" s="12">
        <v>45954</v>
      </c>
      <c r="B132" s="51">
        <v>35164</v>
      </c>
      <c r="C132" s="3" t="s">
        <v>77</v>
      </c>
      <c r="D132" s="3" t="s">
        <v>242</v>
      </c>
      <c r="E132" s="3" t="s">
        <v>53</v>
      </c>
      <c r="F132" s="3">
        <v>1</v>
      </c>
      <c r="G132" s="19">
        <v>0.7</v>
      </c>
      <c r="H132" s="2">
        <f>Table5101332337071[[#This Row],[Quantity]]*Table5101332337071[[#This Row],[Unit Price]]</f>
        <v>0.7</v>
      </c>
      <c r="I132" s="4">
        <v>0.02</v>
      </c>
      <c r="J132" s="3"/>
      <c r="K132" s="4">
        <v>0.13</v>
      </c>
      <c r="L132" s="2">
        <f>(Table5101332337071[[#This Row],[Total]] * (1 - Table5101332337071[[#This Row],[Discount (%)]]) + Table5101332337071[[#This Row],[ΕΦΚ]]) * (1 + Table5101332337071[[#This Row],[TAX (%)]])</f>
        <v>0.77517999999999987</v>
      </c>
    </row>
    <row r="133" spans="1:12" x14ac:dyDescent="0.3">
      <c r="A133" s="12">
        <v>45954</v>
      </c>
      <c r="B133" s="51">
        <v>35164</v>
      </c>
      <c r="C133" s="3" t="s">
        <v>77</v>
      </c>
      <c r="D133" s="3" t="s">
        <v>250</v>
      </c>
      <c r="E133" s="3" t="s">
        <v>53</v>
      </c>
      <c r="F133" s="3">
        <v>1</v>
      </c>
      <c r="G133" s="19">
        <v>3.3</v>
      </c>
      <c r="H133" s="2">
        <f>Table5101332337071[[#This Row],[Quantity]]*Table5101332337071[[#This Row],[Unit Price]]</f>
        <v>3.3</v>
      </c>
      <c r="I133" s="4">
        <v>0.02</v>
      </c>
      <c r="J133" s="3"/>
      <c r="K133" s="4">
        <v>0.13</v>
      </c>
      <c r="L133" s="2">
        <f>(Table5101332337071[[#This Row],[Total]] * (1 - Table5101332337071[[#This Row],[Discount (%)]]) + Table5101332337071[[#This Row],[ΕΦΚ]]) * (1 + Table5101332337071[[#This Row],[TAX (%)]])</f>
        <v>3.6544199999999996</v>
      </c>
    </row>
    <row r="134" spans="1:12" x14ac:dyDescent="0.3">
      <c r="A134" s="12">
        <v>45946</v>
      </c>
      <c r="B134" s="51">
        <v>34878</v>
      </c>
      <c r="C134" s="3" t="s">
        <v>77</v>
      </c>
      <c r="D134" s="3" t="s">
        <v>226</v>
      </c>
      <c r="E134" s="3" t="s">
        <v>53</v>
      </c>
      <c r="F134" s="3">
        <v>3</v>
      </c>
      <c r="G134" s="19">
        <v>1.2</v>
      </c>
      <c r="H134" s="2">
        <f>Table5101332337071[[#This Row],[Quantity]]*Table5101332337071[[#This Row],[Unit Price]]</f>
        <v>3.5999999999999996</v>
      </c>
      <c r="I134" s="4">
        <v>0.02</v>
      </c>
      <c r="J134" s="3"/>
      <c r="K134" s="4">
        <v>0.13</v>
      </c>
      <c r="L134" s="2">
        <f>(Table5101332337071[[#This Row],[Total]] * (1 - Table5101332337071[[#This Row],[Discount (%)]]) + Table5101332337071[[#This Row],[ΕΦΚ]]) * (1 + Table5101332337071[[#This Row],[TAX (%)]])</f>
        <v>3.9866399999999991</v>
      </c>
    </row>
    <row r="135" spans="1:12" x14ac:dyDescent="0.3">
      <c r="A135" s="12">
        <v>45946</v>
      </c>
      <c r="B135" s="51">
        <v>34878</v>
      </c>
      <c r="C135" s="3" t="s">
        <v>77</v>
      </c>
      <c r="D135" s="3" t="s">
        <v>225</v>
      </c>
      <c r="E135" s="3" t="s">
        <v>53</v>
      </c>
      <c r="F135" s="3">
        <v>2.4</v>
      </c>
      <c r="G135" s="19">
        <v>4.7</v>
      </c>
      <c r="H135" s="2">
        <f>Table5101332337071[[#This Row],[Quantity]]*Table5101332337071[[#This Row],[Unit Price]]</f>
        <v>11.28</v>
      </c>
      <c r="I135" s="4">
        <v>0.02</v>
      </c>
      <c r="J135" s="3"/>
      <c r="K135" s="4">
        <v>0.13</v>
      </c>
      <c r="L135" s="2">
        <f>(Table5101332337071[[#This Row],[Total]] * (1 - Table5101332337071[[#This Row],[Discount (%)]]) + Table5101332337071[[#This Row],[ΕΦΚ]]) * (1 + Table5101332337071[[#This Row],[TAX (%)]])</f>
        <v>12.491471999999998</v>
      </c>
    </row>
    <row r="136" spans="1:12" x14ac:dyDescent="0.3">
      <c r="A136" s="12">
        <v>45946</v>
      </c>
      <c r="B136" s="51">
        <v>34878</v>
      </c>
      <c r="C136" s="3" t="s">
        <v>77</v>
      </c>
      <c r="D136" s="3" t="s">
        <v>251</v>
      </c>
      <c r="E136" s="3" t="s">
        <v>53</v>
      </c>
      <c r="F136" s="3">
        <v>0.8</v>
      </c>
      <c r="G136" s="19">
        <v>2.1</v>
      </c>
      <c r="H136" s="2">
        <f>Table5101332337071[[#This Row],[Quantity]]*Table5101332337071[[#This Row],[Unit Price]]</f>
        <v>1.6800000000000002</v>
      </c>
      <c r="I136" s="4">
        <v>0.02</v>
      </c>
      <c r="J136" s="3"/>
      <c r="K136" s="4">
        <v>0.13</v>
      </c>
      <c r="L136" s="2">
        <f>(Table5101332337071[[#This Row],[Total]] * (1 - Table5101332337071[[#This Row],[Discount (%)]]) + Table5101332337071[[#This Row],[ΕΦΚ]]) * (1 + Table5101332337071[[#This Row],[TAX (%)]])</f>
        <v>1.8604319999999999</v>
      </c>
    </row>
    <row r="137" spans="1:12" x14ac:dyDescent="0.3">
      <c r="A137" s="12">
        <v>45946</v>
      </c>
      <c r="B137" s="51">
        <v>34878</v>
      </c>
      <c r="C137" s="3" t="s">
        <v>77</v>
      </c>
      <c r="D137" s="3" t="s">
        <v>248</v>
      </c>
      <c r="E137" s="3" t="s">
        <v>53</v>
      </c>
      <c r="F137" s="3">
        <v>2.4</v>
      </c>
      <c r="G137" s="19">
        <v>4.2</v>
      </c>
      <c r="H137" s="2">
        <f>Table5101332337071[[#This Row],[Quantity]]*Table5101332337071[[#This Row],[Unit Price]]</f>
        <v>10.08</v>
      </c>
      <c r="I137" s="4">
        <v>0.02</v>
      </c>
      <c r="J137" s="3"/>
      <c r="K137" s="4">
        <v>0.13</v>
      </c>
      <c r="L137" s="2">
        <f>(Table5101332337071[[#This Row],[Total]] * (1 - Table5101332337071[[#This Row],[Discount (%)]]) + Table5101332337071[[#This Row],[ΕΦΚ]]) * (1 + Table5101332337071[[#This Row],[TAX (%)]])</f>
        <v>11.162591999999998</v>
      </c>
    </row>
  </sheetData>
  <dataValidations count="3">
    <dataValidation type="date" allowBlank="1" showInputMessage="1" showErrorMessage="1" sqref="A1:A137" xr:uid="{8D9A0AC6-B43D-423B-B578-620C208A9BB0}">
      <formula1>1</formula1>
      <formula2>401404</formula2>
    </dataValidation>
    <dataValidation type="list" showInputMessage="1" showErrorMessage="1" sqref="E1:E1048576" xr:uid="{700F79F4-4070-4D07-A086-740698A13FB6}">
      <formula1>"ΤΕΜ,ΚΙΒ,ΦΙΑ,ΚΙΛΑ,ΛΙΤΡΑ,ΠΑΚ,ΑΛΛΟ"</formula1>
    </dataValidation>
    <dataValidation type="list" showInputMessage="1" showErrorMessage="1" sqref="C1:C1048576" xr:uid="{8634CC62-49BE-4855-AFFB-9CCD87E6D7FD}">
      <formula1>"COFFEE,BEVERAGE,WINE,BEER,FOOD,DAIRY,ALCOHOL,NON-FOOD"</formula1>
    </dataValidation>
  </dataValidations>
  <pageMargins left="0.7" right="0.7" top="0.75" bottom="0.75" header="0.3" footer="0.3"/>
  <ignoredErrors>
    <ignoredError sqref="C1 A1 E1 A138:A1048576 E138:E1048576 C138:C1048576" listDataValidatio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50004-AFEA-4BC4-B61B-58C4BF86C4BB}">
  <dimension ref="A1:M71"/>
  <sheetViews>
    <sheetView workbookViewId="0">
      <selection activeCell="L70" sqref="L70:L71"/>
    </sheetView>
  </sheetViews>
  <sheetFormatPr defaultColWidth="11.453125" defaultRowHeight="14.5" x14ac:dyDescent="0.35"/>
  <cols>
    <col min="1" max="1" width="11.26953125" style="55" bestFit="1" customWidth="1"/>
    <col min="2" max="2" width="13.453125" bestFit="1" customWidth="1"/>
    <col min="3" max="3" width="12.453125" bestFit="1" customWidth="1"/>
    <col min="4" max="4" width="39.81640625" bestFit="1" customWidth="1"/>
    <col min="5" max="5" width="8" bestFit="1" customWidth="1"/>
    <col min="6" max="6" width="11.7265625" bestFit="1" customWidth="1"/>
    <col min="7" max="7" width="14.7265625" style="23" bestFit="1" customWidth="1"/>
    <col min="8" max="8" width="9.81640625" style="56" bestFit="1" customWidth="1"/>
    <col min="9" max="9" width="16.26953125" style="57" bestFit="1" customWidth="1"/>
    <col min="10" max="10" width="8" bestFit="1" customWidth="1"/>
    <col min="11" max="11" width="11.26953125" style="57" bestFit="1" customWidth="1"/>
    <col min="12" max="12" width="13.54296875" style="56" bestFit="1" customWidth="1"/>
    <col min="13" max="13" width="10.81640625" bestFit="1" customWidth="1"/>
  </cols>
  <sheetData>
    <row r="1" spans="1:13" s="8" customFormat="1" ht="14" x14ac:dyDescent="0.3">
      <c r="A1" s="54" t="s">
        <v>3</v>
      </c>
      <c r="B1" s="8" t="s">
        <v>8</v>
      </c>
      <c r="C1" s="8" t="s">
        <v>10</v>
      </c>
      <c r="D1" s="8" t="s">
        <v>97</v>
      </c>
      <c r="E1" s="16" t="s">
        <v>41</v>
      </c>
      <c r="F1" s="8" t="s">
        <v>4</v>
      </c>
      <c r="G1" s="22" t="s">
        <v>6</v>
      </c>
      <c r="H1" s="9" t="s">
        <v>5</v>
      </c>
      <c r="I1" s="10" t="s">
        <v>7</v>
      </c>
      <c r="J1" s="10" t="s">
        <v>60</v>
      </c>
      <c r="K1" s="10" t="s">
        <v>29</v>
      </c>
      <c r="L1" s="14" t="s">
        <v>11</v>
      </c>
      <c r="M1" s="8" t="s">
        <v>198</v>
      </c>
    </row>
    <row r="2" spans="1:13" s="3" customFormat="1" ht="15" customHeight="1" x14ac:dyDescent="0.35">
      <c r="A2" s="12">
        <v>46132</v>
      </c>
      <c r="B2" s="3">
        <v>247679</v>
      </c>
      <c r="C2" s="3" t="s">
        <v>100</v>
      </c>
      <c r="D2" s="3" t="s">
        <v>255</v>
      </c>
      <c r="E2" s="3" t="s">
        <v>43</v>
      </c>
      <c r="F2" s="3">
        <v>2</v>
      </c>
      <c r="G2" s="19">
        <v>7.85</v>
      </c>
      <c r="H2" s="2">
        <f>Table5101332337072[[#This Row],[Quantity]]*Table5101332337072[[#This Row],[Unit Price]]</f>
        <v>15.7</v>
      </c>
      <c r="I2" s="4">
        <v>0.1</v>
      </c>
      <c r="J2" s="4"/>
      <c r="K2" s="4">
        <v>0.13</v>
      </c>
      <c r="L2" s="5">
        <f>(Table5101332337072[[#This Row],[Total]] * (1 - Table5101332337072[[#This Row],[Discount (%)]]) + Table5101332337072[[#This Row],[ΕΦΚ]]) * (1 + Table5101332337072[[#This Row],[TAX (%)]])</f>
        <v>15.966899999999997</v>
      </c>
    </row>
    <row r="3" spans="1:13" x14ac:dyDescent="0.35">
      <c r="A3" s="50">
        <v>46130</v>
      </c>
      <c r="B3" s="51">
        <v>247578</v>
      </c>
      <c r="C3" s="12" t="s">
        <v>100</v>
      </c>
      <c r="D3" s="3" t="s">
        <v>256</v>
      </c>
      <c r="E3" s="3" t="s">
        <v>43</v>
      </c>
      <c r="F3" s="52">
        <v>2</v>
      </c>
      <c r="G3" s="19">
        <v>3.68</v>
      </c>
      <c r="H3" s="2">
        <f>Table5101332337072[[#This Row],[Quantity]]*Table5101332337072[[#This Row],[Unit Price]]</f>
        <v>7.36</v>
      </c>
      <c r="I3" s="4"/>
      <c r="J3" s="4"/>
      <c r="K3" s="4">
        <v>0.13</v>
      </c>
      <c r="L3" s="2">
        <f>(Table5101332337072[[#This Row],[Total]] * (1 - Table5101332337072[[#This Row],[Discount (%)]]) + Table5101332337072[[#This Row],[ΕΦΚ]]) * (1 + Table5101332337072[[#This Row],[TAX (%)]])</f>
        <v>8.3167999999999989</v>
      </c>
      <c r="M3" s="16"/>
    </row>
    <row r="4" spans="1:13" x14ac:dyDescent="0.35">
      <c r="A4" s="50">
        <v>46130</v>
      </c>
      <c r="B4" s="51">
        <v>247578</v>
      </c>
      <c r="C4" s="3" t="s">
        <v>100</v>
      </c>
      <c r="D4" s="3" t="s">
        <v>257</v>
      </c>
      <c r="E4" s="3" t="s">
        <v>43</v>
      </c>
      <c r="F4" s="3">
        <v>1</v>
      </c>
      <c r="G4" s="19">
        <v>3.79</v>
      </c>
      <c r="H4" s="2">
        <f>Table5101332337072[[#This Row],[Quantity]]*Table5101332337072[[#This Row],[Unit Price]]</f>
        <v>3.79</v>
      </c>
      <c r="I4" s="4"/>
      <c r="J4" s="3"/>
      <c r="K4" s="4">
        <v>0.13</v>
      </c>
      <c r="L4" s="2">
        <f>(Table5101332337072[[#This Row],[Total]] * (1 - Table5101332337072[[#This Row],[Discount (%)]]) + Table5101332337072[[#This Row],[ΕΦΚ]]) * (1 + Table5101332337072[[#This Row],[TAX (%)]])</f>
        <v>4.2826999999999993</v>
      </c>
      <c r="M4" s="16"/>
    </row>
    <row r="5" spans="1:13" x14ac:dyDescent="0.35">
      <c r="A5" s="12">
        <v>46127</v>
      </c>
      <c r="B5" s="51">
        <v>247365</v>
      </c>
      <c r="C5" s="3" t="s">
        <v>100</v>
      </c>
      <c r="D5" s="3" t="s">
        <v>256</v>
      </c>
      <c r="E5" s="3" t="s">
        <v>43</v>
      </c>
      <c r="F5" s="3">
        <v>3</v>
      </c>
      <c r="G5" s="19">
        <v>3.68</v>
      </c>
      <c r="H5" s="2">
        <f>Table5101332337072[[#This Row],[Quantity]]*Table5101332337072[[#This Row],[Unit Price]]</f>
        <v>11.040000000000001</v>
      </c>
      <c r="I5" s="4"/>
      <c r="J5" s="3"/>
      <c r="K5" s="4">
        <v>0.13</v>
      </c>
      <c r="L5" s="2">
        <f>(Table5101332337072[[#This Row],[Total]] * (1 - Table5101332337072[[#This Row],[Discount (%)]]) + Table5101332337072[[#This Row],[ΕΦΚ]]) * (1 + Table5101332337072[[#This Row],[TAX (%)]])</f>
        <v>12.475199999999999</v>
      </c>
      <c r="M5" s="16"/>
    </row>
    <row r="6" spans="1:13" x14ac:dyDescent="0.35">
      <c r="A6" s="12">
        <v>46127</v>
      </c>
      <c r="B6" s="51">
        <v>247365</v>
      </c>
      <c r="C6" s="3" t="s">
        <v>100</v>
      </c>
      <c r="D6" s="3" t="s">
        <v>257</v>
      </c>
      <c r="E6" s="3" t="s">
        <v>43</v>
      </c>
      <c r="F6" s="3">
        <v>3</v>
      </c>
      <c r="G6" s="19">
        <v>3.79</v>
      </c>
      <c r="H6" s="2">
        <f>Table5101332337072[[#This Row],[Quantity]]*Table5101332337072[[#This Row],[Unit Price]]</f>
        <v>11.370000000000001</v>
      </c>
      <c r="I6" s="4"/>
      <c r="J6" s="3"/>
      <c r="K6" s="4">
        <v>0.13</v>
      </c>
      <c r="L6" s="2">
        <f>(Table5101332337072[[#This Row],[Total]] * (1 - Table5101332337072[[#This Row],[Discount (%)]]) + Table5101332337072[[#This Row],[ΕΦΚ]]) * (1 + Table5101332337072[[#This Row],[TAX (%)]])</f>
        <v>12.848100000000001</v>
      </c>
      <c r="M6" s="16"/>
    </row>
    <row r="7" spans="1:13" x14ac:dyDescent="0.35">
      <c r="A7" s="12">
        <v>46123</v>
      </c>
      <c r="B7" s="51">
        <v>247178</v>
      </c>
      <c r="C7" s="3" t="s">
        <v>100</v>
      </c>
      <c r="D7" s="3" t="s">
        <v>256</v>
      </c>
      <c r="E7" s="3" t="s">
        <v>43</v>
      </c>
      <c r="F7" s="3">
        <v>4</v>
      </c>
      <c r="G7" s="19">
        <v>3.68</v>
      </c>
      <c r="H7" s="2">
        <f>Table5101332337072[[#This Row],[Quantity]]*Table5101332337072[[#This Row],[Unit Price]]</f>
        <v>14.72</v>
      </c>
      <c r="I7" s="4"/>
      <c r="J7" s="3"/>
      <c r="K7" s="4">
        <v>0.13</v>
      </c>
      <c r="L7" s="2">
        <f>(Table5101332337072[[#This Row],[Total]] * (1 - Table5101332337072[[#This Row],[Discount (%)]]) + Table5101332337072[[#This Row],[ΕΦΚ]]) * (1 + Table5101332337072[[#This Row],[TAX (%)]])</f>
        <v>16.633599999999998</v>
      </c>
      <c r="M7" s="16"/>
    </row>
    <row r="8" spans="1:13" x14ac:dyDescent="0.35">
      <c r="A8" s="12">
        <v>46123</v>
      </c>
      <c r="B8" s="51">
        <v>247178</v>
      </c>
      <c r="C8" s="3" t="s">
        <v>100</v>
      </c>
      <c r="D8" s="3" t="s">
        <v>257</v>
      </c>
      <c r="E8" s="3" t="s">
        <v>43</v>
      </c>
      <c r="F8" s="3">
        <v>1</v>
      </c>
      <c r="G8" s="19">
        <v>3.79</v>
      </c>
      <c r="H8" s="2">
        <f>Table5101332337072[[#This Row],[Quantity]]*Table5101332337072[[#This Row],[Unit Price]]</f>
        <v>3.79</v>
      </c>
      <c r="I8" s="4"/>
      <c r="J8" s="3"/>
      <c r="K8" s="4">
        <v>0.13</v>
      </c>
      <c r="L8" s="2">
        <f>(Table5101332337072[[#This Row],[Total]] * (1 - Table5101332337072[[#This Row],[Discount (%)]]) + Table5101332337072[[#This Row],[ΕΦΚ]]) * (1 + Table5101332337072[[#This Row],[TAX (%)]])</f>
        <v>4.2826999999999993</v>
      </c>
      <c r="M8" s="16"/>
    </row>
    <row r="9" spans="1:13" x14ac:dyDescent="0.35">
      <c r="A9" s="12">
        <v>46119</v>
      </c>
      <c r="B9" s="51">
        <v>246980</v>
      </c>
      <c r="C9" s="3" t="s">
        <v>100</v>
      </c>
      <c r="D9" s="3" t="s">
        <v>256</v>
      </c>
      <c r="E9" s="3" t="s">
        <v>43</v>
      </c>
      <c r="F9" s="3">
        <v>4</v>
      </c>
      <c r="G9" s="19">
        <v>3.68</v>
      </c>
      <c r="H9" s="2">
        <f>Table5101332337072[[#This Row],[Quantity]]*Table5101332337072[[#This Row],[Unit Price]]</f>
        <v>14.72</v>
      </c>
      <c r="I9" s="4"/>
      <c r="J9" s="3"/>
      <c r="K9" s="4">
        <v>0.13</v>
      </c>
      <c r="L9" s="2">
        <f>(Table5101332337072[[#This Row],[Total]] * (1 - Table5101332337072[[#This Row],[Discount (%)]]) + Table5101332337072[[#This Row],[ΕΦΚ]]) * (1 + Table5101332337072[[#This Row],[TAX (%)]])</f>
        <v>16.633599999999998</v>
      </c>
      <c r="M9" s="16"/>
    </row>
    <row r="10" spans="1:13" x14ac:dyDescent="0.35">
      <c r="A10" s="12">
        <v>46113</v>
      </c>
      <c r="B10" s="51">
        <v>246741</v>
      </c>
      <c r="C10" s="3" t="s">
        <v>100</v>
      </c>
      <c r="D10" s="3" t="s">
        <v>256</v>
      </c>
      <c r="E10" s="3" t="s">
        <v>43</v>
      </c>
      <c r="F10" s="3">
        <v>2</v>
      </c>
      <c r="G10" s="19">
        <v>3.68</v>
      </c>
      <c r="H10" s="2">
        <f>Table5101332337072[[#This Row],[Quantity]]*Table5101332337072[[#This Row],[Unit Price]]</f>
        <v>7.36</v>
      </c>
      <c r="I10" s="4"/>
      <c r="J10" s="3"/>
      <c r="K10" s="4">
        <v>0.13</v>
      </c>
      <c r="L10" s="2">
        <f>(Table5101332337072[[#This Row],[Total]] * (1 - Table5101332337072[[#This Row],[Discount (%)]]) + Table5101332337072[[#This Row],[ΕΦΚ]]) * (1 + Table5101332337072[[#This Row],[TAX (%)]])</f>
        <v>8.3167999999999989</v>
      </c>
      <c r="M10" s="16"/>
    </row>
    <row r="11" spans="1:13" x14ac:dyDescent="0.35">
      <c r="A11" s="12">
        <v>46108</v>
      </c>
      <c r="B11" s="51">
        <v>246657</v>
      </c>
      <c r="C11" s="3" t="s">
        <v>100</v>
      </c>
      <c r="D11" s="3" t="s">
        <v>256</v>
      </c>
      <c r="E11" s="3" t="s">
        <v>43</v>
      </c>
      <c r="F11" s="3">
        <v>3</v>
      </c>
      <c r="G11" s="19">
        <v>3.68</v>
      </c>
      <c r="H11" s="2">
        <f>Table5101332337072[[#This Row],[Quantity]]*Table5101332337072[[#This Row],[Unit Price]]</f>
        <v>11.040000000000001</v>
      </c>
      <c r="I11" s="4"/>
      <c r="J11" s="3"/>
      <c r="K11" s="4">
        <v>0.13</v>
      </c>
      <c r="L11" s="2">
        <f>(Table5101332337072[[#This Row],[Total]] * (1 - Table5101332337072[[#This Row],[Discount (%)]]) + Table5101332337072[[#This Row],[ΕΦΚ]]) * (1 + Table5101332337072[[#This Row],[TAX (%)]])</f>
        <v>12.475199999999999</v>
      </c>
      <c r="M11" s="16"/>
    </row>
    <row r="12" spans="1:13" x14ac:dyDescent="0.35">
      <c r="A12" s="12">
        <v>46108</v>
      </c>
      <c r="B12" s="51">
        <v>246657</v>
      </c>
      <c r="C12" s="3" t="s">
        <v>100</v>
      </c>
      <c r="D12" s="3" t="s">
        <v>257</v>
      </c>
      <c r="E12" s="3" t="s">
        <v>43</v>
      </c>
      <c r="F12" s="3">
        <v>2</v>
      </c>
      <c r="G12" s="19">
        <v>3.79</v>
      </c>
      <c r="H12" s="2">
        <f>Table5101332337072[[#This Row],[Quantity]]*Table5101332337072[[#This Row],[Unit Price]]</f>
        <v>7.58</v>
      </c>
      <c r="I12" s="4"/>
      <c r="J12" s="3"/>
      <c r="K12" s="4">
        <v>0.13</v>
      </c>
      <c r="L12" s="2">
        <f>(Table5101332337072[[#This Row],[Total]] * (1 - Table5101332337072[[#This Row],[Discount (%)]]) + Table5101332337072[[#This Row],[ΕΦΚ]]) * (1 + Table5101332337072[[#This Row],[TAX (%)]])</f>
        <v>8.5653999999999986</v>
      </c>
      <c r="M12" s="16"/>
    </row>
    <row r="13" spans="1:13" x14ac:dyDescent="0.35">
      <c r="A13" s="12">
        <v>46100</v>
      </c>
      <c r="B13" s="51">
        <v>246523</v>
      </c>
      <c r="C13" s="3" t="s">
        <v>100</v>
      </c>
      <c r="D13" s="3" t="s">
        <v>256</v>
      </c>
      <c r="E13" s="3" t="s">
        <v>43</v>
      </c>
      <c r="F13" s="3">
        <v>4</v>
      </c>
      <c r="G13" s="19">
        <v>3.68</v>
      </c>
      <c r="H13" s="2">
        <f>Table5101332337072[[#This Row],[Quantity]]*Table5101332337072[[#This Row],[Unit Price]]</f>
        <v>14.72</v>
      </c>
      <c r="I13" s="4"/>
      <c r="J13" s="3"/>
      <c r="K13" s="4">
        <v>0.13</v>
      </c>
      <c r="L13" s="2">
        <f>(Table5101332337072[[#This Row],[Total]] * (1 - Table5101332337072[[#This Row],[Discount (%)]]) + Table5101332337072[[#This Row],[ΕΦΚ]]) * (1 + Table5101332337072[[#This Row],[TAX (%)]])</f>
        <v>16.633599999999998</v>
      </c>
      <c r="M13" s="16"/>
    </row>
    <row r="14" spans="1:13" x14ac:dyDescent="0.35">
      <c r="A14" s="12">
        <v>46100</v>
      </c>
      <c r="B14" s="51">
        <v>246523</v>
      </c>
      <c r="C14" s="3" t="s">
        <v>100</v>
      </c>
      <c r="D14" s="3" t="s">
        <v>257</v>
      </c>
      <c r="E14" s="3" t="s">
        <v>43</v>
      </c>
      <c r="F14" s="3">
        <v>2</v>
      </c>
      <c r="G14" s="19">
        <v>3.79</v>
      </c>
      <c r="H14" s="2">
        <f>Table5101332337072[[#This Row],[Quantity]]*Table5101332337072[[#This Row],[Unit Price]]</f>
        <v>7.58</v>
      </c>
      <c r="I14" s="4"/>
      <c r="J14" s="3"/>
      <c r="K14" s="4">
        <v>0.13</v>
      </c>
      <c r="L14" s="2">
        <f>(Table5101332337072[[#This Row],[Total]] * (1 - Table5101332337072[[#This Row],[Discount (%)]]) + Table5101332337072[[#This Row],[ΕΦΚ]]) * (1 + Table5101332337072[[#This Row],[TAX (%)]])</f>
        <v>8.5653999999999986</v>
      </c>
      <c r="M14" s="16"/>
    </row>
    <row r="15" spans="1:13" x14ac:dyDescent="0.35">
      <c r="A15" s="12">
        <v>46090</v>
      </c>
      <c r="B15" s="51">
        <v>246388</v>
      </c>
      <c r="C15" s="3" t="s">
        <v>100</v>
      </c>
      <c r="D15" s="3" t="s">
        <v>256</v>
      </c>
      <c r="E15" s="3" t="s">
        <v>43</v>
      </c>
      <c r="F15" s="3">
        <v>4</v>
      </c>
      <c r="G15" s="19">
        <v>3.68</v>
      </c>
      <c r="H15" s="2">
        <f>Table5101332337072[[#This Row],[Quantity]]*Table5101332337072[[#This Row],[Unit Price]]</f>
        <v>14.72</v>
      </c>
      <c r="I15" s="4"/>
      <c r="J15" s="3"/>
      <c r="K15" s="4">
        <v>0.13</v>
      </c>
      <c r="L15" s="2">
        <f>(Table5101332337072[[#This Row],[Total]] * (1 - Table5101332337072[[#This Row],[Discount (%)]]) + Table5101332337072[[#This Row],[ΕΦΚ]]) * (1 + Table5101332337072[[#This Row],[TAX (%)]])</f>
        <v>16.633599999999998</v>
      </c>
      <c r="M15" s="16"/>
    </row>
    <row r="16" spans="1:13" x14ac:dyDescent="0.35">
      <c r="A16" s="12">
        <v>46090</v>
      </c>
      <c r="B16" s="51">
        <v>246388</v>
      </c>
      <c r="C16" s="3" t="s">
        <v>100</v>
      </c>
      <c r="D16" s="3" t="s">
        <v>257</v>
      </c>
      <c r="E16" s="3" t="s">
        <v>43</v>
      </c>
      <c r="F16" s="3">
        <v>1</v>
      </c>
      <c r="G16" s="19">
        <v>3.79</v>
      </c>
      <c r="H16" s="2">
        <f>Table5101332337072[[#This Row],[Quantity]]*Table5101332337072[[#This Row],[Unit Price]]</f>
        <v>3.79</v>
      </c>
      <c r="I16" s="4"/>
      <c r="J16" s="3"/>
      <c r="K16" s="4">
        <v>0.13</v>
      </c>
      <c r="L16" s="2">
        <f>(Table5101332337072[[#This Row],[Total]] * (1 - Table5101332337072[[#This Row],[Discount (%)]]) + Table5101332337072[[#This Row],[ΕΦΚ]]) * (1 + Table5101332337072[[#This Row],[TAX (%)]])</f>
        <v>4.2826999999999993</v>
      </c>
      <c r="M16" s="16"/>
    </row>
    <row r="17" spans="1:13" x14ac:dyDescent="0.35">
      <c r="A17" s="12">
        <v>46084</v>
      </c>
      <c r="B17" s="51">
        <v>246315</v>
      </c>
      <c r="C17" s="3" t="s">
        <v>100</v>
      </c>
      <c r="D17" s="3" t="s">
        <v>256</v>
      </c>
      <c r="E17" s="3" t="s">
        <v>43</v>
      </c>
      <c r="F17" s="3">
        <v>3</v>
      </c>
      <c r="G17" s="19">
        <v>3.68</v>
      </c>
      <c r="H17" s="2">
        <f>Table5101332337072[[#This Row],[Quantity]]*Table5101332337072[[#This Row],[Unit Price]]</f>
        <v>11.040000000000001</v>
      </c>
      <c r="I17" s="4"/>
      <c r="J17" s="3"/>
      <c r="K17" s="4">
        <v>0.13</v>
      </c>
      <c r="L17" s="2">
        <f>(Table5101332337072[[#This Row],[Total]] * (1 - Table5101332337072[[#This Row],[Discount (%)]]) + Table5101332337072[[#This Row],[ΕΦΚ]]) * (1 + Table5101332337072[[#This Row],[TAX (%)]])</f>
        <v>12.475199999999999</v>
      </c>
      <c r="M17" s="16"/>
    </row>
    <row r="18" spans="1:13" x14ac:dyDescent="0.35">
      <c r="A18" s="12">
        <v>46084</v>
      </c>
      <c r="B18" s="51">
        <v>246315</v>
      </c>
      <c r="C18" s="3" t="s">
        <v>100</v>
      </c>
      <c r="D18" s="3" t="s">
        <v>257</v>
      </c>
      <c r="E18" s="3" t="s">
        <v>43</v>
      </c>
      <c r="F18" s="3">
        <v>1</v>
      </c>
      <c r="G18" s="19">
        <v>3.79</v>
      </c>
      <c r="H18" s="2">
        <f>Table5101332337072[[#This Row],[Quantity]]*Table5101332337072[[#This Row],[Unit Price]]</f>
        <v>3.79</v>
      </c>
      <c r="I18" s="4"/>
      <c r="J18" s="3"/>
      <c r="K18" s="4">
        <v>0.13</v>
      </c>
      <c r="L18" s="2">
        <f>(Table5101332337072[[#This Row],[Total]] * (1 - Table5101332337072[[#This Row],[Discount (%)]]) + Table5101332337072[[#This Row],[ΕΦΚ]]) * (1 + Table5101332337072[[#This Row],[TAX (%)]])</f>
        <v>4.2826999999999993</v>
      </c>
      <c r="M18" s="16"/>
    </row>
    <row r="19" spans="1:13" x14ac:dyDescent="0.35">
      <c r="A19" s="12">
        <v>46077</v>
      </c>
      <c r="B19" s="51">
        <v>246227</v>
      </c>
      <c r="C19" s="3" t="s">
        <v>100</v>
      </c>
      <c r="D19" s="3" t="s">
        <v>256</v>
      </c>
      <c r="E19" s="3" t="s">
        <v>43</v>
      </c>
      <c r="F19" s="3">
        <v>4</v>
      </c>
      <c r="G19" s="19">
        <v>3.68</v>
      </c>
      <c r="H19" s="2">
        <f>Table5101332337072[[#This Row],[Quantity]]*Table5101332337072[[#This Row],[Unit Price]]</f>
        <v>14.72</v>
      </c>
      <c r="I19" s="4"/>
      <c r="J19" s="3"/>
      <c r="K19" s="4">
        <v>0.13</v>
      </c>
      <c r="L19" s="2">
        <f>(Table5101332337072[[#This Row],[Total]] * (1 - Table5101332337072[[#This Row],[Discount (%)]]) + Table5101332337072[[#This Row],[ΕΦΚ]]) * (1 + Table5101332337072[[#This Row],[TAX (%)]])</f>
        <v>16.633599999999998</v>
      </c>
      <c r="M19" s="16"/>
    </row>
    <row r="20" spans="1:13" x14ac:dyDescent="0.35">
      <c r="A20" s="12">
        <v>46077</v>
      </c>
      <c r="B20" s="51">
        <v>246227</v>
      </c>
      <c r="C20" s="3" t="s">
        <v>100</v>
      </c>
      <c r="D20" s="3" t="s">
        <v>257</v>
      </c>
      <c r="E20" s="3" t="s">
        <v>43</v>
      </c>
      <c r="F20" s="3">
        <v>2</v>
      </c>
      <c r="G20" s="19">
        <v>3.79</v>
      </c>
      <c r="H20" s="2">
        <f>Table5101332337072[[#This Row],[Quantity]]*Table5101332337072[[#This Row],[Unit Price]]</f>
        <v>7.58</v>
      </c>
      <c r="I20" s="4"/>
      <c r="J20" s="3"/>
      <c r="K20" s="4">
        <v>0.13</v>
      </c>
      <c r="L20" s="2">
        <f>(Table5101332337072[[#This Row],[Total]] * (1 - Table5101332337072[[#This Row],[Discount (%)]]) + Table5101332337072[[#This Row],[ΕΦΚ]]) * (1 + Table5101332337072[[#This Row],[TAX (%)]])</f>
        <v>8.5653999999999986</v>
      </c>
      <c r="M20" s="16"/>
    </row>
    <row r="21" spans="1:13" x14ac:dyDescent="0.35">
      <c r="A21" s="12">
        <v>46066</v>
      </c>
      <c r="B21" s="51">
        <v>246150</v>
      </c>
      <c r="C21" s="3" t="s">
        <v>100</v>
      </c>
      <c r="D21" s="3" t="s">
        <v>256</v>
      </c>
      <c r="E21" s="3" t="s">
        <v>43</v>
      </c>
      <c r="F21" s="3">
        <v>3</v>
      </c>
      <c r="G21" s="19">
        <v>3.68</v>
      </c>
      <c r="H21" s="2">
        <f>Table5101332337072[[#This Row],[Quantity]]*Table5101332337072[[#This Row],[Unit Price]]</f>
        <v>11.040000000000001</v>
      </c>
      <c r="I21" s="4"/>
      <c r="J21" s="3"/>
      <c r="K21" s="4">
        <v>0.13</v>
      </c>
      <c r="L21" s="2">
        <f>(Table5101332337072[[#This Row],[Total]] * (1 - Table5101332337072[[#This Row],[Discount (%)]]) + Table5101332337072[[#This Row],[ΕΦΚ]]) * (1 + Table5101332337072[[#This Row],[TAX (%)]])</f>
        <v>12.475199999999999</v>
      </c>
      <c r="M21" s="16"/>
    </row>
    <row r="22" spans="1:13" x14ac:dyDescent="0.35">
      <c r="A22" s="12">
        <v>46066</v>
      </c>
      <c r="B22" s="51">
        <v>246150</v>
      </c>
      <c r="C22" s="3" t="s">
        <v>100</v>
      </c>
      <c r="D22" s="3" t="s">
        <v>257</v>
      </c>
      <c r="E22" s="3" t="s">
        <v>43</v>
      </c>
      <c r="F22" s="3">
        <v>1</v>
      </c>
      <c r="G22" s="19">
        <v>3.79</v>
      </c>
      <c r="H22" s="2">
        <f>Table5101332337072[[#This Row],[Quantity]]*Table5101332337072[[#This Row],[Unit Price]]</f>
        <v>3.79</v>
      </c>
      <c r="I22" s="4"/>
      <c r="J22" s="3"/>
      <c r="K22" s="4">
        <v>0.13</v>
      </c>
      <c r="L22" s="2">
        <f>(Table5101332337072[[#This Row],[Total]] * (1 - Table5101332337072[[#This Row],[Discount (%)]]) + Table5101332337072[[#This Row],[ΕΦΚ]]) * (1 + Table5101332337072[[#This Row],[TAX (%)]])</f>
        <v>4.2826999999999993</v>
      </c>
      <c r="M22" s="16"/>
    </row>
    <row r="23" spans="1:13" x14ac:dyDescent="0.35">
      <c r="A23" s="12">
        <v>46062</v>
      </c>
      <c r="B23" s="51">
        <v>246108</v>
      </c>
      <c r="C23" s="3" t="s">
        <v>100</v>
      </c>
      <c r="D23" s="3" t="s">
        <v>256</v>
      </c>
      <c r="E23" s="3" t="s">
        <v>43</v>
      </c>
      <c r="F23" s="3">
        <v>1</v>
      </c>
      <c r="G23" s="19">
        <v>3.68</v>
      </c>
      <c r="H23" s="2">
        <f>Table5101332337072[[#This Row],[Quantity]]*Table5101332337072[[#This Row],[Unit Price]]</f>
        <v>3.68</v>
      </c>
      <c r="I23" s="4"/>
      <c r="J23" s="3"/>
      <c r="K23" s="4">
        <v>0.13</v>
      </c>
      <c r="L23" s="2">
        <f>(Table5101332337072[[#This Row],[Total]] * (1 - Table5101332337072[[#This Row],[Discount (%)]]) + Table5101332337072[[#This Row],[ΕΦΚ]]) * (1 + Table5101332337072[[#This Row],[TAX (%)]])</f>
        <v>4.1583999999999994</v>
      </c>
      <c r="M23" s="16"/>
    </row>
    <row r="24" spans="1:13" x14ac:dyDescent="0.35">
      <c r="A24" s="12">
        <v>46062</v>
      </c>
      <c r="B24" s="51">
        <v>246108</v>
      </c>
      <c r="C24" s="3" t="s">
        <v>100</v>
      </c>
      <c r="D24" s="3" t="s">
        <v>257</v>
      </c>
      <c r="E24" s="3" t="s">
        <v>43</v>
      </c>
      <c r="F24" s="3">
        <v>1</v>
      </c>
      <c r="G24" s="19">
        <v>3.79</v>
      </c>
      <c r="H24" s="2">
        <f>Table5101332337072[[#This Row],[Quantity]]*Table5101332337072[[#This Row],[Unit Price]]</f>
        <v>3.79</v>
      </c>
      <c r="I24" s="4"/>
      <c r="J24" s="3"/>
      <c r="K24" s="4">
        <v>0.13</v>
      </c>
      <c r="L24" s="2">
        <f>(Table5101332337072[[#This Row],[Total]] * (1 - Table5101332337072[[#This Row],[Discount (%)]]) + Table5101332337072[[#This Row],[ΕΦΚ]]) * (1 + Table5101332337072[[#This Row],[TAX (%)]])</f>
        <v>4.2826999999999993</v>
      </c>
      <c r="M24" s="16"/>
    </row>
    <row r="25" spans="1:13" x14ac:dyDescent="0.35">
      <c r="A25" s="12">
        <v>46049</v>
      </c>
      <c r="B25" s="51">
        <v>245998</v>
      </c>
      <c r="C25" s="3" t="s">
        <v>100</v>
      </c>
      <c r="D25" s="3" t="s">
        <v>256</v>
      </c>
      <c r="E25" s="3" t="s">
        <v>43</v>
      </c>
      <c r="F25" s="3">
        <v>4</v>
      </c>
      <c r="G25" s="19">
        <v>3.68</v>
      </c>
      <c r="H25" s="2">
        <f>Table5101332337072[[#This Row],[Quantity]]*Table5101332337072[[#This Row],[Unit Price]]</f>
        <v>14.72</v>
      </c>
      <c r="I25" s="4"/>
      <c r="J25" s="3"/>
      <c r="K25" s="4">
        <v>0.13</v>
      </c>
      <c r="L25" s="2">
        <f>(Table5101332337072[[#This Row],[Total]] * (1 - Table5101332337072[[#This Row],[Discount (%)]]) + Table5101332337072[[#This Row],[ΕΦΚ]]) * (1 + Table5101332337072[[#This Row],[TAX (%)]])</f>
        <v>16.633599999999998</v>
      </c>
      <c r="M25" s="16"/>
    </row>
    <row r="26" spans="1:13" x14ac:dyDescent="0.35">
      <c r="A26" s="12">
        <v>46049</v>
      </c>
      <c r="B26" s="51">
        <v>245998</v>
      </c>
      <c r="C26" s="3" t="s">
        <v>100</v>
      </c>
      <c r="D26" s="3" t="s">
        <v>257</v>
      </c>
      <c r="E26" s="3" t="s">
        <v>43</v>
      </c>
      <c r="F26" s="3">
        <v>2</v>
      </c>
      <c r="G26" s="19">
        <v>3.79</v>
      </c>
      <c r="H26" s="2">
        <f>Table5101332337072[[#This Row],[Quantity]]*Table5101332337072[[#This Row],[Unit Price]]</f>
        <v>7.58</v>
      </c>
      <c r="I26" s="4"/>
      <c r="J26" s="3"/>
      <c r="K26" s="4">
        <v>0.13</v>
      </c>
      <c r="L26" s="2">
        <f>(Table5101332337072[[#This Row],[Total]] * (1 - Table5101332337072[[#This Row],[Discount (%)]]) + Table5101332337072[[#This Row],[ΕΦΚ]]) * (1 + Table5101332337072[[#This Row],[TAX (%)]])</f>
        <v>8.5653999999999986</v>
      </c>
      <c r="M26" s="16"/>
    </row>
    <row r="27" spans="1:13" x14ac:dyDescent="0.35">
      <c r="A27" s="12">
        <v>46018</v>
      </c>
      <c r="B27" s="51">
        <v>245797</v>
      </c>
      <c r="C27" s="3" t="s">
        <v>100</v>
      </c>
      <c r="D27" s="3" t="s">
        <v>256</v>
      </c>
      <c r="E27" s="3" t="s">
        <v>43</v>
      </c>
      <c r="F27" s="3">
        <v>4</v>
      </c>
      <c r="G27" s="19">
        <v>3.68</v>
      </c>
      <c r="H27" s="2">
        <f>Table5101332337072[[#This Row],[Quantity]]*Table5101332337072[[#This Row],[Unit Price]]</f>
        <v>14.72</v>
      </c>
      <c r="I27" s="4"/>
      <c r="J27" s="3"/>
      <c r="K27" s="4">
        <v>0.13</v>
      </c>
      <c r="L27" s="2">
        <f>(Table5101332337072[[#This Row],[Total]] * (1 - Table5101332337072[[#This Row],[Discount (%)]]) + Table5101332337072[[#This Row],[ΕΦΚ]]) * (1 + Table5101332337072[[#This Row],[TAX (%)]])</f>
        <v>16.633599999999998</v>
      </c>
      <c r="M27" s="16"/>
    </row>
    <row r="28" spans="1:13" x14ac:dyDescent="0.35">
      <c r="A28" s="12">
        <v>46018</v>
      </c>
      <c r="B28" s="51">
        <v>245797</v>
      </c>
      <c r="C28" s="3" t="s">
        <v>100</v>
      </c>
      <c r="D28" s="3" t="s">
        <v>257</v>
      </c>
      <c r="E28" s="3" t="s">
        <v>43</v>
      </c>
      <c r="F28" s="3">
        <v>2</v>
      </c>
      <c r="G28" s="19">
        <v>3.79</v>
      </c>
      <c r="H28" s="2">
        <f>Table5101332337072[[#This Row],[Quantity]]*Table5101332337072[[#This Row],[Unit Price]]</f>
        <v>7.58</v>
      </c>
      <c r="I28" s="4"/>
      <c r="J28" s="3"/>
      <c r="K28" s="4">
        <v>0.13</v>
      </c>
      <c r="L28" s="2">
        <f>(Table5101332337072[[#This Row],[Total]] * (1 - Table5101332337072[[#This Row],[Discount (%)]]) + Table5101332337072[[#This Row],[ΕΦΚ]]) * (1 + Table5101332337072[[#This Row],[TAX (%)]])</f>
        <v>8.5653999999999986</v>
      </c>
      <c r="M28" s="16"/>
    </row>
    <row r="29" spans="1:13" x14ac:dyDescent="0.35">
      <c r="A29" s="12">
        <v>46007</v>
      </c>
      <c r="B29" s="51">
        <v>245716</v>
      </c>
      <c r="C29" s="3" t="s">
        <v>100</v>
      </c>
      <c r="D29" s="3" t="s">
        <v>256</v>
      </c>
      <c r="E29" s="3" t="s">
        <v>43</v>
      </c>
      <c r="F29" s="3">
        <v>4</v>
      </c>
      <c r="G29" s="19">
        <v>3.68</v>
      </c>
      <c r="H29" s="2">
        <f>Table5101332337072[[#This Row],[Quantity]]*Table5101332337072[[#This Row],[Unit Price]]</f>
        <v>14.72</v>
      </c>
      <c r="I29" s="4"/>
      <c r="J29" s="3"/>
      <c r="K29" s="4">
        <v>0.13</v>
      </c>
      <c r="L29" s="2">
        <f>(Table5101332337072[[#This Row],[Total]] * (1 - Table5101332337072[[#This Row],[Discount (%)]]) + Table5101332337072[[#This Row],[ΕΦΚ]]) * (1 + Table5101332337072[[#This Row],[TAX (%)]])</f>
        <v>16.633599999999998</v>
      </c>
      <c r="M29" s="16"/>
    </row>
    <row r="30" spans="1:13" x14ac:dyDescent="0.35">
      <c r="A30" s="12">
        <v>46001</v>
      </c>
      <c r="B30" s="51">
        <v>245657</v>
      </c>
      <c r="C30" s="3" t="s">
        <v>100</v>
      </c>
      <c r="D30" s="3" t="s">
        <v>256</v>
      </c>
      <c r="E30" s="3" t="s">
        <v>43</v>
      </c>
      <c r="F30" s="3">
        <v>3</v>
      </c>
      <c r="G30" s="19">
        <v>3.68</v>
      </c>
      <c r="H30" s="2">
        <f>Table5101332337072[[#This Row],[Quantity]]*Table5101332337072[[#This Row],[Unit Price]]</f>
        <v>11.040000000000001</v>
      </c>
      <c r="I30" s="4"/>
      <c r="J30" s="3"/>
      <c r="K30" s="4">
        <v>0.13</v>
      </c>
      <c r="L30" s="2">
        <f>(Table5101332337072[[#This Row],[Total]] * (1 - Table5101332337072[[#This Row],[Discount (%)]]) + Table5101332337072[[#This Row],[ΕΦΚ]]) * (1 + Table5101332337072[[#This Row],[TAX (%)]])</f>
        <v>12.475199999999999</v>
      </c>
      <c r="M30" s="16"/>
    </row>
    <row r="31" spans="1:13" x14ac:dyDescent="0.35">
      <c r="A31" s="12">
        <v>45993</v>
      </c>
      <c r="B31" s="51">
        <v>245596</v>
      </c>
      <c r="C31" s="3" t="s">
        <v>100</v>
      </c>
      <c r="D31" s="3" t="s">
        <v>256</v>
      </c>
      <c r="E31" s="3" t="s">
        <v>43</v>
      </c>
      <c r="F31" s="3">
        <v>3</v>
      </c>
      <c r="G31" s="19">
        <v>3.68</v>
      </c>
      <c r="H31" s="2">
        <f>Table5101332337072[[#This Row],[Quantity]]*Table5101332337072[[#This Row],[Unit Price]]</f>
        <v>11.040000000000001</v>
      </c>
      <c r="I31" s="4"/>
      <c r="J31" s="3"/>
      <c r="K31" s="4">
        <v>0.13</v>
      </c>
      <c r="L31" s="2">
        <f>(Table5101332337072[[#This Row],[Total]] * (1 - Table5101332337072[[#This Row],[Discount (%)]]) + Table5101332337072[[#This Row],[ΕΦΚ]]) * (1 + Table5101332337072[[#This Row],[TAX (%)]])</f>
        <v>12.475199999999999</v>
      </c>
      <c r="M31" s="16"/>
    </row>
    <row r="32" spans="1:13" x14ac:dyDescent="0.35">
      <c r="A32" s="12">
        <v>45993</v>
      </c>
      <c r="B32" s="51">
        <v>245596</v>
      </c>
      <c r="C32" s="3" t="s">
        <v>100</v>
      </c>
      <c r="D32" s="3" t="s">
        <v>262</v>
      </c>
      <c r="E32" s="3" t="s">
        <v>43</v>
      </c>
      <c r="F32" s="3">
        <v>1</v>
      </c>
      <c r="G32" s="19">
        <v>16.98</v>
      </c>
      <c r="H32" s="2">
        <f>Table5101332337072[[#This Row],[Quantity]]*Table5101332337072[[#This Row],[Unit Price]]</f>
        <v>16.98</v>
      </c>
      <c r="I32" s="4"/>
      <c r="J32" s="3"/>
      <c r="K32" s="4">
        <v>0.13</v>
      </c>
      <c r="L32" s="2">
        <f>(Table5101332337072[[#This Row],[Total]] * (1 - Table5101332337072[[#This Row],[Discount (%)]]) + Table5101332337072[[#This Row],[ΕΦΚ]]) * (1 + Table5101332337072[[#This Row],[TAX (%)]])</f>
        <v>19.1874</v>
      </c>
      <c r="M32" s="16"/>
    </row>
    <row r="33" spans="1:13" x14ac:dyDescent="0.35">
      <c r="A33" s="12">
        <v>45993</v>
      </c>
      <c r="B33" s="51">
        <v>245596</v>
      </c>
      <c r="C33" s="3" t="s">
        <v>100</v>
      </c>
      <c r="D33" s="3" t="s">
        <v>262</v>
      </c>
      <c r="E33" s="3" t="s">
        <v>43</v>
      </c>
      <c r="F33" s="3">
        <v>1</v>
      </c>
      <c r="G33" s="19">
        <v>16.98</v>
      </c>
      <c r="H33" s="2">
        <f>Table5101332337072[[#This Row],[Quantity]]*Table5101332337072[[#This Row],[Unit Price]]</f>
        <v>16.98</v>
      </c>
      <c r="I33" s="4">
        <v>0.94</v>
      </c>
      <c r="J33" s="3"/>
      <c r="K33" s="4">
        <v>0.13</v>
      </c>
      <c r="L33" s="2">
        <f>(Table5101332337072[[#This Row],[Total]] * (1 - Table5101332337072[[#This Row],[Discount (%)]]) + Table5101332337072[[#This Row],[ΕΦΚ]]) * (1 + Table5101332337072[[#This Row],[TAX (%)]])</f>
        <v>1.151244000000001</v>
      </c>
      <c r="M33" s="16"/>
    </row>
    <row r="34" spans="1:13" x14ac:dyDescent="0.35">
      <c r="A34" s="12">
        <v>45989</v>
      </c>
      <c r="B34" s="51">
        <v>245561</v>
      </c>
      <c r="C34" s="3" t="s">
        <v>100</v>
      </c>
      <c r="D34" s="3" t="s">
        <v>256</v>
      </c>
      <c r="E34" s="3" t="s">
        <v>43</v>
      </c>
      <c r="F34" s="3">
        <v>2</v>
      </c>
      <c r="G34" s="19">
        <v>3.68</v>
      </c>
      <c r="H34" s="2">
        <f>Table5101332337072[[#This Row],[Quantity]]*Table5101332337072[[#This Row],[Unit Price]]</f>
        <v>7.36</v>
      </c>
      <c r="I34" s="4"/>
      <c r="J34" s="3"/>
      <c r="K34" s="4">
        <v>0.13</v>
      </c>
      <c r="L34" s="2">
        <f>(Table5101332337072[[#This Row],[Total]] * (1 - Table5101332337072[[#This Row],[Discount (%)]]) + Table5101332337072[[#This Row],[ΕΦΚ]]) * (1 + Table5101332337072[[#This Row],[TAX (%)]])</f>
        <v>8.3167999999999989</v>
      </c>
      <c r="M34" s="16"/>
    </row>
    <row r="35" spans="1:13" x14ac:dyDescent="0.35">
      <c r="A35" s="12">
        <v>45989</v>
      </c>
      <c r="B35" s="51">
        <v>245561</v>
      </c>
      <c r="C35" s="3" t="s">
        <v>100</v>
      </c>
      <c r="D35" s="3" t="s">
        <v>262</v>
      </c>
      <c r="E35" s="3" t="s">
        <v>43</v>
      </c>
      <c r="F35" s="3">
        <v>1</v>
      </c>
      <c r="G35" s="19">
        <v>16.98</v>
      </c>
      <c r="H35" s="2">
        <f>Table5101332337072[[#This Row],[Quantity]]*Table5101332337072[[#This Row],[Unit Price]]</f>
        <v>16.98</v>
      </c>
      <c r="I35" s="4"/>
      <c r="J35" s="3"/>
      <c r="K35" s="4">
        <v>0.13</v>
      </c>
      <c r="L35" s="2">
        <f>(Table5101332337072[[#This Row],[Total]] * (1 - Table5101332337072[[#This Row],[Discount (%)]]) + Table5101332337072[[#This Row],[ΕΦΚ]]) * (1 + Table5101332337072[[#This Row],[TAX (%)]])</f>
        <v>19.1874</v>
      </c>
      <c r="M35" s="16"/>
    </row>
    <row r="36" spans="1:13" x14ac:dyDescent="0.35">
      <c r="A36" s="12">
        <v>45989</v>
      </c>
      <c r="B36" s="51">
        <v>245561</v>
      </c>
      <c r="C36" s="3" t="s">
        <v>100</v>
      </c>
      <c r="D36" s="3" t="s">
        <v>262</v>
      </c>
      <c r="E36" s="3" t="s">
        <v>43</v>
      </c>
      <c r="F36" s="3">
        <v>1</v>
      </c>
      <c r="G36" s="19">
        <v>16.98</v>
      </c>
      <c r="H36" s="2">
        <f>Table5101332337072[[#This Row],[Quantity]]*Table5101332337072[[#This Row],[Unit Price]]</f>
        <v>16.98</v>
      </c>
      <c r="I36" s="4">
        <v>0.94</v>
      </c>
      <c r="J36" s="3"/>
      <c r="K36" s="4">
        <v>0.13</v>
      </c>
      <c r="L36" s="2">
        <f>(Table5101332337072[[#This Row],[Total]] * (1 - Table5101332337072[[#This Row],[Discount (%)]]) + Table5101332337072[[#This Row],[ΕΦΚ]]) * (1 + Table5101332337072[[#This Row],[TAX (%)]])</f>
        <v>1.151244000000001</v>
      </c>
      <c r="M36" s="16"/>
    </row>
    <row r="37" spans="1:13" x14ac:dyDescent="0.35">
      <c r="A37" s="12">
        <v>45985</v>
      </c>
      <c r="B37" s="51">
        <v>245515</v>
      </c>
      <c r="C37" s="3" t="s">
        <v>100</v>
      </c>
      <c r="D37" s="3" t="s">
        <v>256</v>
      </c>
      <c r="E37" s="3" t="s">
        <v>43</v>
      </c>
      <c r="F37" s="3">
        <v>4</v>
      </c>
      <c r="G37" s="19">
        <v>3.68</v>
      </c>
      <c r="H37" s="2">
        <f>Table5101332337072[[#This Row],[Quantity]]*Table5101332337072[[#This Row],[Unit Price]]</f>
        <v>14.72</v>
      </c>
      <c r="I37" s="4"/>
      <c r="J37" s="3"/>
      <c r="K37" s="4">
        <v>0.13</v>
      </c>
      <c r="L37" s="2">
        <f>(Table5101332337072[[#This Row],[Total]] * (1 - Table5101332337072[[#This Row],[Discount (%)]]) + Table5101332337072[[#This Row],[ΕΦΚ]]) * (1 + Table5101332337072[[#This Row],[TAX (%)]])</f>
        <v>16.633599999999998</v>
      </c>
      <c r="M37" s="16"/>
    </row>
    <row r="38" spans="1:13" x14ac:dyDescent="0.35">
      <c r="A38" s="12">
        <v>45976</v>
      </c>
      <c r="B38" s="51">
        <v>245421</v>
      </c>
      <c r="C38" s="3" t="s">
        <v>100</v>
      </c>
      <c r="D38" s="3" t="s">
        <v>258</v>
      </c>
      <c r="E38" s="3" t="s">
        <v>43</v>
      </c>
      <c r="F38" s="3">
        <v>1</v>
      </c>
      <c r="G38" s="19">
        <v>14.95</v>
      </c>
      <c r="H38" s="2">
        <f>Table5101332337072[[#This Row],[Quantity]]*Table5101332337072[[#This Row],[Unit Price]]</f>
        <v>14.95</v>
      </c>
      <c r="I38" s="4"/>
      <c r="J38" s="3"/>
      <c r="K38" s="4">
        <v>0.13</v>
      </c>
      <c r="L38" s="2">
        <f>(Table5101332337072[[#This Row],[Total]] * (1 - Table5101332337072[[#This Row],[Discount (%)]]) + Table5101332337072[[#This Row],[ΕΦΚ]]) * (1 + Table5101332337072[[#This Row],[TAX (%)]])</f>
        <v>16.893499999999996</v>
      </c>
      <c r="M38" s="16"/>
    </row>
    <row r="39" spans="1:13" x14ac:dyDescent="0.35">
      <c r="A39" s="12">
        <v>45976</v>
      </c>
      <c r="B39" s="51">
        <v>245421</v>
      </c>
      <c r="C39" s="3" t="s">
        <v>100</v>
      </c>
      <c r="D39" s="3" t="s">
        <v>259</v>
      </c>
      <c r="E39" s="3" t="s">
        <v>43</v>
      </c>
      <c r="F39" s="3">
        <v>1</v>
      </c>
      <c r="G39" s="19">
        <v>17.84</v>
      </c>
      <c r="H39" s="2">
        <f>Table5101332337072[[#This Row],[Quantity]]*Table5101332337072[[#This Row],[Unit Price]]</f>
        <v>17.84</v>
      </c>
      <c r="I39" s="4">
        <v>0.15</v>
      </c>
      <c r="J39" s="3"/>
      <c r="K39" s="4">
        <v>0.13</v>
      </c>
      <c r="L39" s="2">
        <f>(Table5101332337072[[#This Row],[Total]] * (1 - Table5101332337072[[#This Row],[Discount (%)]]) + Table5101332337072[[#This Row],[ΕΦΚ]]) * (1 + Table5101332337072[[#This Row],[TAX (%)]])</f>
        <v>17.135319999999997</v>
      </c>
      <c r="M39" s="16"/>
    </row>
    <row r="40" spans="1:13" x14ac:dyDescent="0.35">
      <c r="A40" s="12">
        <v>45976</v>
      </c>
      <c r="B40" s="51">
        <v>245421</v>
      </c>
      <c r="C40" s="3" t="s">
        <v>100</v>
      </c>
      <c r="D40" s="3" t="s">
        <v>260</v>
      </c>
      <c r="E40" s="3" t="s">
        <v>43</v>
      </c>
      <c r="F40" s="3">
        <v>1</v>
      </c>
      <c r="G40" s="19">
        <v>17.84</v>
      </c>
      <c r="H40" s="2">
        <f>Table5101332337072[[#This Row],[Quantity]]*Table5101332337072[[#This Row],[Unit Price]]</f>
        <v>17.84</v>
      </c>
      <c r="I40" s="4">
        <v>0.15</v>
      </c>
      <c r="J40" s="3"/>
      <c r="K40" s="4">
        <v>0.13</v>
      </c>
      <c r="L40" s="2">
        <f>(Table5101332337072[[#This Row],[Total]] * (1 - Table5101332337072[[#This Row],[Discount (%)]]) + Table5101332337072[[#This Row],[ΕΦΚ]]) * (1 + Table5101332337072[[#This Row],[TAX (%)]])</f>
        <v>17.135319999999997</v>
      </c>
      <c r="M40" s="16"/>
    </row>
    <row r="41" spans="1:13" x14ac:dyDescent="0.35">
      <c r="A41" s="12">
        <v>45976</v>
      </c>
      <c r="B41" s="51">
        <v>245421</v>
      </c>
      <c r="C41" s="3" t="s">
        <v>100</v>
      </c>
      <c r="D41" s="3" t="s">
        <v>261</v>
      </c>
      <c r="E41" s="3" t="s">
        <v>43</v>
      </c>
      <c r="F41" s="3">
        <v>1</v>
      </c>
      <c r="G41" s="19">
        <v>18.62</v>
      </c>
      <c r="H41" s="2">
        <f>Table5101332337072[[#This Row],[Quantity]]*Table5101332337072[[#This Row],[Unit Price]]</f>
        <v>18.62</v>
      </c>
      <c r="I41" s="4">
        <v>0.15</v>
      </c>
      <c r="J41" s="3"/>
      <c r="K41" s="4">
        <v>0.13</v>
      </c>
      <c r="L41" s="2">
        <f>(Table5101332337072[[#This Row],[Total]] * (1 - Table5101332337072[[#This Row],[Discount (%)]]) + Table5101332337072[[#This Row],[ΕΦΚ]]) * (1 + Table5101332337072[[#This Row],[TAX (%)]])</f>
        <v>17.884509999999999</v>
      </c>
      <c r="M41" s="16"/>
    </row>
    <row r="42" spans="1:13" x14ac:dyDescent="0.35">
      <c r="A42" s="12">
        <v>45976</v>
      </c>
      <c r="B42" s="51">
        <v>245421</v>
      </c>
      <c r="C42" s="3" t="s">
        <v>100</v>
      </c>
      <c r="D42" s="3" t="s">
        <v>256</v>
      </c>
      <c r="E42" s="3" t="s">
        <v>43</v>
      </c>
      <c r="F42" s="3">
        <v>2</v>
      </c>
      <c r="G42" s="19">
        <v>3.68</v>
      </c>
      <c r="H42" s="2">
        <f>Table5101332337072[[#This Row],[Quantity]]*Table5101332337072[[#This Row],[Unit Price]]</f>
        <v>7.36</v>
      </c>
      <c r="I42" s="4"/>
      <c r="J42" s="3"/>
      <c r="K42" s="4">
        <v>0.13</v>
      </c>
      <c r="L42" s="2">
        <f>(Table5101332337072[[#This Row],[Total]] * (1 - Table5101332337072[[#This Row],[Discount (%)]]) + Table5101332337072[[#This Row],[ΕΦΚ]]) * (1 + Table5101332337072[[#This Row],[TAX (%)]])</f>
        <v>8.3167999999999989</v>
      </c>
      <c r="M42" s="16"/>
    </row>
    <row r="43" spans="1:13" x14ac:dyDescent="0.35">
      <c r="A43" s="12">
        <v>45975</v>
      </c>
      <c r="B43" s="51">
        <v>245390</v>
      </c>
      <c r="C43" s="3" t="s">
        <v>100</v>
      </c>
      <c r="D43" s="3" t="s">
        <v>256</v>
      </c>
      <c r="E43" s="3" t="s">
        <v>43</v>
      </c>
      <c r="F43" s="3">
        <v>4</v>
      </c>
      <c r="G43" s="19">
        <v>3.68</v>
      </c>
      <c r="H43" s="2">
        <f>Table5101332337072[[#This Row],[Quantity]]*Table5101332337072[[#This Row],[Unit Price]]</f>
        <v>14.72</v>
      </c>
      <c r="I43" s="4"/>
      <c r="J43" s="3"/>
      <c r="K43" s="4">
        <v>0.13</v>
      </c>
      <c r="L43" s="2">
        <f>(Table5101332337072[[#This Row],[Total]] * (1 - Table5101332337072[[#This Row],[Discount (%)]]) + Table5101332337072[[#This Row],[ΕΦΚ]]) * (1 + Table5101332337072[[#This Row],[TAX (%)]])</f>
        <v>16.633599999999998</v>
      </c>
      <c r="M43" s="16"/>
    </row>
    <row r="44" spans="1:13" x14ac:dyDescent="0.35">
      <c r="A44" s="12">
        <v>45973</v>
      </c>
      <c r="B44" s="51">
        <v>245367</v>
      </c>
      <c r="C44" s="3" t="s">
        <v>100</v>
      </c>
      <c r="D44" s="3" t="s">
        <v>256</v>
      </c>
      <c r="E44" s="3" t="s">
        <v>43</v>
      </c>
      <c r="F44" s="3">
        <v>2</v>
      </c>
      <c r="G44" s="19">
        <v>3.68</v>
      </c>
      <c r="H44" s="2">
        <f>Table5101332337072[[#This Row],[Quantity]]*Table5101332337072[[#This Row],[Unit Price]]</f>
        <v>7.36</v>
      </c>
      <c r="I44" s="4"/>
      <c r="J44" s="3"/>
      <c r="K44" s="4">
        <v>0.13</v>
      </c>
      <c r="L44" s="2">
        <f>(Table5101332337072[[#This Row],[Total]] * (1 - Table5101332337072[[#This Row],[Discount (%)]]) + Table5101332337072[[#This Row],[ΕΦΚ]]) * (1 + Table5101332337072[[#This Row],[TAX (%)]])</f>
        <v>8.3167999999999989</v>
      </c>
      <c r="M44" s="16"/>
    </row>
    <row r="45" spans="1:13" x14ac:dyDescent="0.35">
      <c r="A45" s="12">
        <v>45967</v>
      </c>
      <c r="B45" s="51">
        <v>245287</v>
      </c>
      <c r="C45" s="3" t="s">
        <v>100</v>
      </c>
      <c r="D45" s="3" t="s">
        <v>262</v>
      </c>
      <c r="E45" s="3" t="s">
        <v>43</v>
      </c>
      <c r="F45" s="3">
        <v>1</v>
      </c>
      <c r="G45" s="19">
        <v>16.98</v>
      </c>
      <c r="H45" s="2">
        <f>Table5101332337072[[#This Row],[Quantity]]*Table5101332337072[[#This Row],[Unit Price]]</f>
        <v>16.98</v>
      </c>
      <c r="I45" s="4"/>
      <c r="J45" s="3"/>
      <c r="K45" s="4">
        <v>0.13</v>
      </c>
      <c r="L45" s="2">
        <f>(Table5101332337072[[#This Row],[Total]] * (1 - Table5101332337072[[#This Row],[Discount (%)]]) + Table5101332337072[[#This Row],[ΕΦΚ]]) * (1 + Table5101332337072[[#This Row],[TAX (%)]])</f>
        <v>19.1874</v>
      </c>
      <c r="M45" s="16"/>
    </row>
    <row r="46" spans="1:13" x14ac:dyDescent="0.35">
      <c r="A46" s="12">
        <v>45967</v>
      </c>
      <c r="B46" s="51">
        <v>245287</v>
      </c>
      <c r="C46" s="3" t="s">
        <v>100</v>
      </c>
      <c r="D46" s="3" t="s">
        <v>262</v>
      </c>
      <c r="E46" s="3" t="s">
        <v>43</v>
      </c>
      <c r="F46" s="3">
        <v>1</v>
      </c>
      <c r="G46" s="19">
        <v>16.98</v>
      </c>
      <c r="H46" s="2">
        <f>Table5101332337072[[#This Row],[Quantity]]*Table5101332337072[[#This Row],[Unit Price]]</f>
        <v>16.98</v>
      </c>
      <c r="I46" s="4">
        <v>0.94</v>
      </c>
      <c r="J46" s="3"/>
      <c r="K46" s="4">
        <v>0.13</v>
      </c>
      <c r="L46" s="2">
        <f>(Table5101332337072[[#This Row],[Total]] * (1 - Table5101332337072[[#This Row],[Discount (%)]]) + Table5101332337072[[#This Row],[ΕΦΚ]]) * (1 + Table5101332337072[[#This Row],[TAX (%)]])</f>
        <v>1.151244000000001</v>
      </c>
      <c r="M46" s="16"/>
    </row>
    <row r="47" spans="1:13" x14ac:dyDescent="0.35">
      <c r="A47" s="12">
        <v>45967</v>
      </c>
      <c r="B47" s="51">
        <v>245287</v>
      </c>
      <c r="C47" s="3" t="s">
        <v>100</v>
      </c>
      <c r="D47" s="3" t="s">
        <v>256</v>
      </c>
      <c r="E47" s="3" t="s">
        <v>43</v>
      </c>
      <c r="F47" s="3">
        <v>4</v>
      </c>
      <c r="G47" s="19">
        <v>3.68</v>
      </c>
      <c r="H47" s="2">
        <f>Table5101332337072[[#This Row],[Quantity]]*Table5101332337072[[#This Row],[Unit Price]]</f>
        <v>14.72</v>
      </c>
      <c r="I47" s="4"/>
      <c r="J47" s="3"/>
      <c r="K47" s="4">
        <v>0.13</v>
      </c>
      <c r="L47" s="2">
        <f>(Table5101332337072[[#This Row],[Total]] * (1 - Table5101332337072[[#This Row],[Discount (%)]]) + Table5101332337072[[#This Row],[ΕΦΚ]]) * (1 + Table5101332337072[[#This Row],[TAX (%)]])</f>
        <v>16.633599999999998</v>
      </c>
      <c r="M47" s="16"/>
    </row>
    <row r="48" spans="1:13" x14ac:dyDescent="0.35">
      <c r="A48" s="12">
        <v>45965</v>
      </c>
      <c r="B48" s="51">
        <v>245222</v>
      </c>
      <c r="C48" s="3" t="s">
        <v>100</v>
      </c>
      <c r="D48" s="3" t="s">
        <v>256</v>
      </c>
      <c r="E48" s="3" t="s">
        <v>43</v>
      </c>
      <c r="F48" s="3">
        <v>4</v>
      </c>
      <c r="G48" s="19">
        <v>3.68</v>
      </c>
      <c r="H48" s="2">
        <f>Table5101332337072[[#This Row],[Quantity]]*Table5101332337072[[#This Row],[Unit Price]]</f>
        <v>14.72</v>
      </c>
      <c r="I48" s="4"/>
      <c r="J48" s="3"/>
      <c r="K48" s="4">
        <v>0.13</v>
      </c>
      <c r="L48" s="2">
        <f>(Table5101332337072[[#This Row],[Total]] * (1 - Table5101332337072[[#This Row],[Discount (%)]]) + Table5101332337072[[#This Row],[ΕΦΚ]]) * (1 + Table5101332337072[[#This Row],[TAX (%)]])</f>
        <v>16.633599999999998</v>
      </c>
      <c r="M48" s="16"/>
    </row>
    <row r="49" spans="1:13" x14ac:dyDescent="0.35">
      <c r="A49" s="12">
        <v>45960</v>
      </c>
      <c r="B49" s="51">
        <v>245078</v>
      </c>
      <c r="C49" s="3" t="s">
        <v>100</v>
      </c>
      <c r="D49" s="3" t="s">
        <v>256</v>
      </c>
      <c r="E49" s="3" t="s">
        <v>43</v>
      </c>
      <c r="F49" s="3">
        <v>2</v>
      </c>
      <c r="G49" s="19">
        <v>3.68</v>
      </c>
      <c r="H49" s="2">
        <f>Table5101332337072[[#This Row],[Quantity]]*Table5101332337072[[#This Row],[Unit Price]]</f>
        <v>7.36</v>
      </c>
      <c r="I49" s="4"/>
      <c r="J49" s="3"/>
      <c r="K49" s="4">
        <v>0.13</v>
      </c>
      <c r="L49" s="2">
        <f>(Table5101332337072[[#This Row],[Total]] * (1 - Table5101332337072[[#This Row],[Discount (%)]]) + Table5101332337072[[#This Row],[ΕΦΚ]]) * (1 + Table5101332337072[[#This Row],[TAX (%)]])</f>
        <v>8.3167999999999989</v>
      </c>
      <c r="M49" s="16"/>
    </row>
    <row r="50" spans="1:13" x14ac:dyDescent="0.35">
      <c r="A50" s="12">
        <v>45957</v>
      </c>
      <c r="B50" s="51">
        <v>244922</v>
      </c>
      <c r="C50" s="3" t="s">
        <v>100</v>
      </c>
      <c r="D50" s="3" t="s">
        <v>256</v>
      </c>
      <c r="E50" s="3" t="s">
        <v>43</v>
      </c>
      <c r="F50" s="3">
        <v>3</v>
      </c>
      <c r="G50" s="19">
        <v>3.68</v>
      </c>
      <c r="H50" s="2">
        <f>Table5101332337072[[#This Row],[Quantity]]*Table5101332337072[[#This Row],[Unit Price]]</f>
        <v>11.040000000000001</v>
      </c>
      <c r="I50" s="4"/>
      <c r="J50" s="3"/>
      <c r="K50" s="4">
        <v>0.13</v>
      </c>
      <c r="L50" s="2">
        <f>(Table5101332337072[[#This Row],[Total]] * (1 - Table5101332337072[[#This Row],[Discount (%)]]) + Table5101332337072[[#This Row],[ΕΦΚ]]) * (1 + Table5101332337072[[#This Row],[TAX (%)]])</f>
        <v>12.475199999999999</v>
      </c>
      <c r="M50" s="16"/>
    </row>
    <row r="51" spans="1:13" x14ac:dyDescent="0.35">
      <c r="A51" s="12">
        <v>45955</v>
      </c>
      <c r="B51" s="51">
        <v>244830</v>
      </c>
      <c r="C51" s="3" t="s">
        <v>100</v>
      </c>
      <c r="D51" s="3" t="s">
        <v>264</v>
      </c>
      <c r="E51" s="3" t="s">
        <v>43</v>
      </c>
      <c r="F51" s="3">
        <v>1</v>
      </c>
      <c r="G51" s="19">
        <v>14.95</v>
      </c>
      <c r="H51" s="2">
        <f>Table5101332337072[[#This Row],[Quantity]]*Table5101332337072[[#This Row],[Unit Price]]</f>
        <v>14.95</v>
      </c>
      <c r="I51" s="4"/>
      <c r="J51" s="3"/>
      <c r="K51" s="4">
        <v>0.13</v>
      </c>
      <c r="L51" s="2">
        <f>(Table5101332337072[[#This Row],[Total]] * (1 - Table5101332337072[[#This Row],[Discount (%)]]) + Table5101332337072[[#This Row],[ΕΦΚ]]) * (1 + Table5101332337072[[#This Row],[TAX (%)]])</f>
        <v>16.893499999999996</v>
      </c>
      <c r="M51" s="16"/>
    </row>
    <row r="52" spans="1:13" x14ac:dyDescent="0.35">
      <c r="A52" s="12">
        <v>45955</v>
      </c>
      <c r="B52" s="51">
        <v>244830</v>
      </c>
      <c r="C52" s="3" t="s">
        <v>45</v>
      </c>
      <c r="D52" s="3" t="s">
        <v>266</v>
      </c>
      <c r="E52" s="3" t="s">
        <v>43</v>
      </c>
      <c r="F52" s="3">
        <v>1</v>
      </c>
      <c r="G52" s="19">
        <v>30.6</v>
      </c>
      <c r="H52" s="2">
        <f>Table5101332337072[[#This Row],[Quantity]]*Table5101332337072[[#This Row],[Unit Price]]</f>
        <v>30.6</v>
      </c>
      <c r="I52" s="4">
        <v>0.18</v>
      </c>
      <c r="J52" s="3"/>
      <c r="K52" s="4">
        <v>0.24</v>
      </c>
      <c r="L52" s="2">
        <f>(Table5101332337072[[#This Row],[Total]] * (1 - Table5101332337072[[#This Row],[Discount (%)]]) + Table5101332337072[[#This Row],[ΕΦΚ]]) * (1 + Table5101332337072[[#This Row],[TAX (%)]])</f>
        <v>31.114080000000001</v>
      </c>
      <c r="M52" s="16"/>
    </row>
    <row r="53" spans="1:13" x14ac:dyDescent="0.35">
      <c r="A53" s="12">
        <v>45955</v>
      </c>
      <c r="B53" s="51">
        <v>244830</v>
      </c>
      <c r="C53" s="3" t="s">
        <v>100</v>
      </c>
      <c r="D53" s="3" t="s">
        <v>256</v>
      </c>
      <c r="E53" s="3" t="s">
        <v>43</v>
      </c>
      <c r="F53" s="3">
        <v>1</v>
      </c>
      <c r="G53" s="19">
        <v>3.68</v>
      </c>
      <c r="H53" s="2">
        <f>Table5101332337072[[#This Row],[Quantity]]*Table5101332337072[[#This Row],[Unit Price]]</f>
        <v>3.68</v>
      </c>
      <c r="I53" s="4"/>
      <c r="J53" s="3"/>
      <c r="K53" s="4">
        <v>0.13</v>
      </c>
      <c r="L53" s="2">
        <f>(Table5101332337072[[#This Row],[Total]] * (1 - Table5101332337072[[#This Row],[Discount (%)]]) + Table5101332337072[[#This Row],[ΕΦΚ]]) * (1 + Table5101332337072[[#This Row],[TAX (%)]])</f>
        <v>4.1583999999999994</v>
      </c>
      <c r="M53" s="16"/>
    </row>
    <row r="54" spans="1:13" x14ac:dyDescent="0.35">
      <c r="A54" s="12">
        <v>45955</v>
      </c>
      <c r="B54" s="51">
        <v>244830</v>
      </c>
      <c r="C54" s="3" t="s">
        <v>101</v>
      </c>
      <c r="D54" s="3" t="s">
        <v>263</v>
      </c>
      <c r="E54" s="3" t="s">
        <v>42</v>
      </c>
      <c r="F54" s="3">
        <v>24</v>
      </c>
      <c r="G54" s="19">
        <v>0.11</v>
      </c>
      <c r="H54" s="2">
        <f>Table5101332337072[[#This Row],[Quantity]]*Table5101332337072[[#This Row],[Unit Price]]</f>
        <v>2.64</v>
      </c>
      <c r="I54" s="4"/>
      <c r="J54" s="3"/>
      <c r="K54" s="4">
        <v>0</v>
      </c>
      <c r="L54" s="2">
        <f>(Table5101332337072[[#This Row],[Total]] * (1 - Table5101332337072[[#This Row],[Discount (%)]]) + Table5101332337072[[#This Row],[ΕΦΚ]]) * (1 + Table5101332337072[[#This Row],[TAX (%)]])</f>
        <v>2.64</v>
      </c>
      <c r="M54" s="16"/>
    </row>
    <row r="55" spans="1:13" x14ac:dyDescent="0.35">
      <c r="A55" s="12">
        <v>45954</v>
      </c>
      <c r="B55" s="51">
        <v>244749</v>
      </c>
      <c r="C55" s="3" t="s">
        <v>100</v>
      </c>
      <c r="D55" s="3" t="s">
        <v>256</v>
      </c>
      <c r="E55" s="3" t="s">
        <v>43</v>
      </c>
      <c r="F55" s="3">
        <v>2</v>
      </c>
      <c r="G55" s="19">
        <v>3.68</v>
      </c>
      <c r="H55" s="2">
        <f>Table5101332337072[[#This Row],[Quantity]]*Table5101332337072[[#This Row],[Unit Price]]</f>
        <v>7.36</v>
      </c>
      <c r="I55" s="4"/>
      <c r="J55" s="3"/>
      <c r="K55" s="4">
        <v>0.13</v>
      </c>
      <c r="L55" s="2">
        <f>(Table5101332337072[[#This Row],[Total]] * (1 - Table5101332337072[[#This Row],[Discount (%)]]) + Table5101332337072[[#This Row],[ΕΦΚ]]) * (1 + Table5101332337072[[#This Row],[TAX (%)]])</f>
        <v>8.3167999999999989</v>
      </c>
      <c r="M55" s="16"/>
    </row>
    <row r="56" spans="1:13" x14ac:dyDescent="0.35">
      <c r="A56" s="12">
        <v>45952</v>
      </c>
      <c r="B56" s="51">
        <v>13681</v>
      </c>
      <c r="C56" s="3" t="s">
        <v>101</v>
      </c>
      <c r="D56" s="3" t="s">
        <v>263</v>
      </c>
      <c r="E56" s="3" t="s">
        <v>42</v>
      </c>
      <c r="F56" s="3">
        <v>24</v>
      </c>
      <c r="G56" s="19">
        <v>0.11</v>
      </c>
      <c r="H56" s="2">
        <f>Table5101332337072[[#This Row],[Quantity]]*Table5101332337072[[#This Row],[Unit Price]]</f>
        <v>2.64</v>
      </c>
      <c r="I56" s="4"/>
      <c r="J56" s="3"/>
      <c r="K56" s="4">
        <v>0</v>
      </c>
      <c r="L56" s="2">
        <f>(Table5101332337072[[#This Row],[Total]] * (1 - Table5101332337072[[#This Row],[Discount (%)]]) + Table5101332337072[[#This Row],[ΕΦΚ]]) * (1 + Table5101332337072[[#This Row],[TAX (%)]])</f>
        <v>2.64</v>
      </c>
      <c r="M56" s="16"/>
    </row>
    <row r="57" spans="1:13" x14ac:dyDescent="0.35">
      <c r="A57" s="12">
        <v>45952</v>
      </c>
      <c r="B57" s="51">
        <v>244571</v>
      </c>
      <c r="C57" s="3" t="s">
        <v>45</v>
      </c>
      <c r="D57" s="3" t="s">
        <v>266</v>
      </c>
      <c r="E57" s="3" t="s">
        <v>43</v>
      </c>
      <c r="F57" s="3">
        <v>1</v>
      </c>
      <c r="G57" s="19">
        <v>30.6</v>
      </c>
      <c r="H57" s="2">
        <f>Table5101332337072[[#This Row],[Quantity]]*Table5101332337072[[#This Row],[Unit Price]]</f>
        <v>30.6</v>
      </c>
      <c r="I57" s="4">
        <v>0.18</v>
      </c>
      <c r="J57" s="3"/>
      <c r="K57" s="4">
        <v>0.24</v>
      </c>
      <c r="L57" s="2">
        <f>(Table5101332337072[[#This Row],[Total]] * (1 - Table5101332337072[[#This Row],[Discount (%)]]) + Table5101332337072[[#This Row],[ΕΦΚ]]) * (1 + Table5101332337072[[#This Row],[TAX (%)]])</f>
        <v>31.114080000000001</v>
      </c>
      <c r="M57" s="16"/>
    </row>
    <row r="58" spans="1:13" x14ac:dyDescent="0.35">
      <c r="A58" s="12">
        <v>45952</v>
      </c>
      <c r="B58" s="51">
        <v>244571</v>
      </c>
      <c r="C58" s="3" t="s">
        <v>100</v>
      </c>
      <c r="D58" s="3" t="s">
        <v>259</v>
      </c>
      <c r="E58" s="3" t="s">
        <v>43</v>
      </c>
      <c r="F58" s="3">
        <v>1</v>
      </c>
      <c r="G58" s="19">
        <v>17.84</v>
      </c>
      <c r="H58" s="2">
        <f>Table5101332337072[[#This Row],[Quantity]]*Table5101332337072[[#This Row],[Unit Price]]</f>
        <v>17.84</v>
      </c>
      <c r="I58" s="4">
        <v>0.15</v>
      </c>
      <c r="J58" s="3"/>
      <c r="K58" s="4">
        <v>0.13</v>
      </c>
      <c r="L58" s="2">
        <f>(Table5101332337072[[#This Row],[Total]] * (1 - Table5101332337072[[#This Row],[Discount (%)]]) + Table5101332337072[[#This Row],[ΕΦΚ]]) * (1 + Table5101332337072[[#This Row],[TAX (%)]])</f>
        <v>17.135319999999997</v>
      </c>
      <c r="M58" s="16"/>
    </row>
    <row r="59" spans="1:13" x14ac:dyDescent="0.35">
      <c r="A59" s="12">
        <v>45950</v>
      </c>
      <c r="B59" s="51">
        <v>244390</v>
      </c>
      <c r="C59" s="3" t="s">
        <v>100</v>
      </c>
      <c r="D59" s="3" t="s">
        <v>256</v>
      </c>
      <c r="E59" s="3" t="s">
        <v>43</v>
      </c>
      <c r="F59" s="3">
        <v>2</v>
      </c>
      <c r="G59" s="19">
        <v>3.68</v>
      </c>
      <c r="H59" s="2">
        <f>Table5101332337072[[#This Row],[Quantity]]*Table5101332337072[[#This Row],[Unit Price]]</f>
        <v>7.36</v>
      </c>
      <c r="I59" s="4"/>
      <c r="J59" s="3"/>
      <c r="K59" s="4">
        <v>0.13</v>
      </c>
      <c r="L59" s="2">
        <f>(Table5101332337072[[#This Row],[Total]] * (1 - Table5101332337072[[#This Row],[Discount (%)]]) + Table5101332337072[[#This Row],[ΕΦΚ]]) * (1 + Table5101332337072[[#This Row],[TAX (%)]])</f>
        <v>8.3167999999999989</v>
      </c>
      <c r="M59" s="16"/>
    </row>
    <row r="60" spans="1:13" x14ac:dyDescent="0.35">
      <c r="A60" s="12">
        <v>45948</v>
      </c>
      <c r="B60" s="51">
        <v>244278</v>
      </c>
      <c r="C60" s="3" t="s">
        <v>100</v>
      </c>
      <c r="D60" s="3" t="s">
        <v>256</v>
      </c>
      <c r="E60" s="3" t="s">
        <v>43</v>
      </c>
      <c r="F60" s="3">
        <v>1</v>
      </c>
      <c r="G60" s="19">
        <v>3.68</v>
      </c>
      <c r="H60" s="2">
        <f>Table5101332337072[[#This Row],[Quantity]]*Table5101332337072[[#This Row],[Unit Price]]</f>
        <v>3.68</v>
      </c>
      <c r="I60" s="4"/>
      <c r="J60" s="3"/>
      <c r="K60" s="4">
        <v>0.13</v>
      </c>
      <c r="L60" s="2">
        <f>(Table5101332337072[[#This Row],[Total]] * (1 - Table5101332337072[[#This Row],[Discount (%)]]) + Table5101332337072[[#This Row],[ΕΦΚ]]) * (1 + Table5101332337072[[#This Row],[TAX (%)]])</f>
        <v>4.1583999999999994</v>
      </c>
      <c r="M60" s="16"/>
    </row>
    <row r="61" spans="1:13" x14ac:dyDescent="0.35">
      <c r="A61" s="12">
        <v>45947</v>
      </c>
      <c r="B61" s="51">
        <v>244182</v>
      </c>
      <c r="C61" s="3" t="s">
        <v>100</v>
      </c>
      <c r="D61" s="3" t="s">
        <v>256</v>
      </c>
      <c r="E61" s="3" t="s">
        <v>43</v>
      </c>
      <c r="F61" s="3">
        <v>2</v>
      </c>
      <c r="G61" s="19">
        <v>3.68</v>
      </c>
      <c r="H61" s="2">
        <f>Table5101332337072[[#This Row],[Quantity]]*Table5101332337072[[#This Row],[Unit Price]]</f>
        <v>7.36</v>
      </c>
      <c r="I61" s="4"/>
      <c r="J61" s="3"/>
      <c r="K61" s="4">
        <v>0.13</v>
      </c>
      <c r="L61" s="2">
        <f>(Table5101332337072[[#This Row],[Total]] * (1 - Table5101332337072[[#This Row],[Discount (%)]]) + Table5101332337072[[#This Row],[ΕΦΚ]]) * (1 + Table5101332337072[[#This Row],[TAX (%)]])</f>
        <v>8.3167999999999989</v>
      </c>
      <c r="M61" s="16"/>
    </row>
    <row r="62" spans="1:13" x14ac:dyDescent="0.35">
      <c r="A62" s="12">
        <v>45947</v>
      </c>
      <c r="B62" s="51">
        <v>244182</v>
      </c>
      <c r="C62" s="3" t="s">
        <v>45</v>
      </c>
      <c r="D62" s="3" t="s">
        <v>266</v>
      </c>
      <c r="E62" s="3" t="s">
        <v>43</v>
      </c>
      <c r="F62" s="3">
        <v>1</v>
      </c>
      <c r="G62" s="19">
        <v>30.6</v>
      </c>
      <c r="H62" s="2">
        <f>Table5101332337072[[#This Row],[Quantity]]*Table5101332337072[[#This Row],[Unit Price]]</f>
        <v>30.6</v>
      </c>
      <c r="I62" s="4">
        <v>0.18</v>
      </c>
      <c r="J62" s="3"/>
      <c r="K62" s="4">
        <v>0.24</v>
      </c>
      <c r="L62" s="2">
        <f>(Table5101332337072[[#This Row],[Total]] * (1 - Table5101332337072[[#This Row],[Discount (%)]]) + Table5101332337072[[#This Row],[ΕΦΚ]]) * (1 + Table5101332337072[[#This Row],[TAX (%)]])</f>
        <v>31.114080000000001</v>
      </c>
      <c r="M62" s="16"/>
    </row>
    <row r="63" spans="1:13" x14ac:dyDescent="0.35">
      <c r="A63" s="12">
        <v>45947</v>
      </c>
      <c r="B63" s="51">
        <v>244182</v>
      </c>
      <c r="C63" s="3" t="s">
        <v>45</v>
      </c>
      <c r="D63" s="3" t="s">
        <v>265</v>
      </c>
      <c r="E63" s="3" t="s">
        <v>43</v>
      </c>
      <c r="F63" s="3">
        <v>1</v>
      </c>
      <c r="G63" s="19">
        <v>25.62</v>
      </c>
      <c r="H63" s="2">
        <f>Table5101332337072[[#This Row],[Quantity]]*Table5101332337072[[#This Row],[Unit Price]]</f>
        <v>25.62</v>
      </c>
      <c r="I63" s="4">
        <v>0.18</v>
      </c>
      <c r="J63" s="3"/>
      <c r="K63" s="4">
        <v>0.24</v>
      </c>
      <c r="L63" s="2">
        <f>(Table5101332337072[[#This Row],[Total]] * (1 - Table5101332337072[[#This Row],[Discount (%)]]) + Table5101332337072[[#This Row],[ΕΦΚ]]) * (1 + Table5101332337072[[#This Row],[TAX (%)]])</f>
        <v>26.050416000000002</v>
      </c>
      <c r="M63" s="16"/>
    </row>
    <row r="64" spans="1:13" x14ac:dyDescent="0.35">
      <c r="A64" s="12">
        <v>45947</v>
      </c>
      <c r="B64" s="51">
        <v>244182</v>
      </c>
      <c r="C64" s="3" t="s">
        <v>101</v>
      </c>
      <c r="D64" s="3" t="s">
        <v>267</v>
      </c>
      <c r="E64" s="3" t="s">
        <v>42</v>
      </c>
      <c r="F64" s="3">
        <v>24</v>
      </c>
      <c r="G64" s="19">
        <v>0.11</v>
      </c>
      <c r="H64" s="2">
        <f>Table5101332337072[[#This Row],[Quantity]]*Table5101332337072[[#This Row],[Unit Price]]</f>
        <v>2.64</v>
      </c>
      <c r="I64" s="4"/>
      <c r="J64" s="3"/>
      <c r="K64" s="4">
        <v>0</v>
      </c>
      <c r="L64" s="2">
        <f>(Table5101332337072[[#This Row],[Total]] * (1 - Table5101332337072[[#This Row],[Discount (%)]]) + Table5101332337072[[#This Row],[ΕΦΚ]]) * (1 + Table5101332337072[[#This Row],[TAX (%)]])</f>
        <v>2.64</v>
      </c>
      <c r="M64" s="16"/>
    </row>
    <row r="65" spans="1:13" x14ac:dyDescent="0.35">
      <c r="A65" s="12">
        <v>45947</v>
      </c>
      <c r="B65" s="51">
        <v>244182</v>
      </c>
      <c r="C65" s="3" t="s">
        <v>101</v>
      </c>
      <c r="D65" s="3" t="s">
        <v>263</v>
      </c>
      <c r="E65" s="3" t="s">
        <v>42</v>
      </c>
      <c r="F65" s="3">
        <v>24</v>
      </c>
      <c r="G65" s="19">
        <v>0.11</v>
      </c>
      <c r="H65" s="2">
        <f>Table5101332337072[[#This Row],[Quantity]]*Table5101332337072[[#This Row],[Unit Price]]</f>
        <v>2.64</v>
      </c>
      <c r="I65" s="4"/>
      <c r="J65" s="3"/>
      <c r="K65" s="4">
        <v>0</v>
      </c>
      <c r="L65" s="2">
        <f>(Table5101332337072[[#This Row],[Total]] * (1 - Table5101332337072[[#This Row],[Discount (%)]]) + Table5101332337072[[#This Row],[ΕΦΚ]]) * (1 + Table5101332337072[[#This Row],[TAX (%)]])</f>
        <v>2.64</v>
      </c>
      <c r="M65" s="16"/>
    </row>
    <row r="66" spans="1:13" x14ac:dyDescent="0.35">
      <c r="A66" s="12">
        <v>45946</v>
      </c>
      <c r="B66" s="51">
        <v>244089</v>
      </c>
      <c r="C66" s="3" t="s">
        <v>100</v>
      </c>
      <c r="D66" s="3" t="s">
        <v>256</v>
      </c>
      <c r="E66" s="3" t="s">
        <v>43</v>
      </c>
      <c r="F66" s="3">
        <v>1</v>
      </c>
      <c r="G66" s="19">
        <v>3.68</v>
      </c>
      <c r="H66" s="2">
        <f>Table5101332337072[[#This Row],[Quantity]]*Table5101332337072[[#This Row],[Unit Price]]</f>
        <v>3.68</v>
      </c>
      <c r="I66" s="4"/>
      <c r="J66" s="3"/>
      <c r="K66" s="4">
        <v>0.13</v>
      </c>
      <c r="L66" s="2">
        <f>(Table5101332337072[[#This Row],[Total]] * (1 - Table5101332337072[[#This Row],[Discount (%)]]) + Table5101332337072[[#This Row],[ΕΦΚ]]) * (1 + Table5101332337072[[#This Row],[TAX (%)]])</f>
        <v>4.1583999999999994</v>
      </c>
      <c r="M66" s="16"/>
    </row>
    <row r="67" spans="1:13" x14ac:dyDescent="0.35">
      <c r="A67" s="12">
        <v>45946</v>
      </c>
      <c r="B67" s="51">
        <v>244089</v>
      </c>
      <c r="C67" s="3" t="s">
        <v>100</v>
      </c>
      <c r="D67" s="3" t="s">
        <v>264</v>
      </c>
      <c r="E67" s="3" t="s">
        <v>43</v>
      </c>
      <c r="F67" s="3">
        <v>0.5</v>
      </c>
      <c r="G67" s="19">
        <v>14.95</v>
      </c>
      <c r="H67" s="2">
        <f>Table5101332337072[[#This Row],[Quantity]]*Table5101332337072[[#This Row],[Unit Price]]</f>
        <v>7.4749999999999996</v>
      </c>
      <c r="I67" s="4"/>
      <c r="J67" s="3"/>
      <c r="K67" s="4">
        <v>0.13</v>
      </c>
      <c r="L67" s="2">
        <f>(Table5101332337072[[#This Row],[Total]] * (1 - Table5101332337072[[#This Row],[Discount (%)]]) + Table5101332337072[[#This Row],[ΕΦΚ]]) * (1 + Table5101332337072[[#This Row],[TAX (%)]])</f>
        <v>8.446749999999998</v>
      </c>
      <c r="M67" s="16"/>
    </row>
    <row r="68" spans="1:13" x14ac:dyDescent="0.35">
      <c r="A68" s="12">
        <v>45946</v>
      </c>
      <c r="B68" s="51">
        <v>244089</v>
      </c>
      <c r="C68" s="3" t="s">
        <v>100</v>
      </c>
      <c r="D68" s="3" t="s">
        <v>258</v>
      </c>
      <c r="E68" s="3" t="s">
        <v>43</v>
      </c>
      <c r="F68" s="3">
        <v>0.5</v>
      </c>
      <c r="G68" s="19">
        <v>14.95</v>
      </c>
      <c r="H68" s="2">
        <f>Table5101332337072[[#This Row],[Quantity]]*Table5101332337072[[#This Row],[Unit Price]]</f>
        <v>7.4749999999999996</v>
      </c>
      <c r="I68" s="4"/>
      <c r="J68" s="3"/>
      <c r="K68" s="4">
        <v>0.13</v>
      </c>
      <c r="L68" s="2">
        <f>(Table5101332337072[[#This Row],[Total]] * (1 - Table5101332337072[[#This Row],[Discount (%)]]) + Table5101332337072[[#This Row],[ΕΦΚ]]) * (1 + Table5101332337072[[#This Row],[TAX (%)]])</f>
        <v>8.446749999999998</v>
      </c>
      <c r="M68" s="16"/>
    </row>
    <row r="69" spans="1:13" x14ac:dyDescent="0.35">
      <c r="A69" s="12">
        <v>45946</v>
      </c>
      <c r="B69" s="51">
        <v>244089</v>
      </c>
      <c r="C69" s="3" t="s">
        <v>100</v>
      </c>
      <c r="D69" s="3" t="s">
        <v>259</v>
      </c>
      <c r="E69" s="3" t="s">
        <v>43</v>
      </c>
      <c r="F69" s="3">
        <v>0.5</v>
      </c>
      <c r="G69" s="19">
        <v>17.84</v>
      </c>
      <c r="H69" s="2">
        <f>Table5101332337072[[#This Row],[Quantity]]*Table5101332337072[[#This Row],[Unit Price]]</f>
        <v>8.92</v>
      </c>
      <c r="I69" s="4">
        <v>0.15</v>
      </c>
      <c r="J69" s="3"/>
      <c r="K69" s="4">
        <v>0.13</v>
      </c>
      <c r="L69" s="2">
        <f>(Table5101332337072[[#This Row],[Total]] * (1 - Table5101332337072[[#This Row],[Discount (%)]]) + Table5101332337072[[#This Row],[ΕΦΚ]]) * (1 + Table5101332337072[[#This Row],[TAX (%)]])</f>
        <v>8.5676599999999983</v>
      </c>
      <c r="M69" s="16"/>
    </row>
    <row r="70" spans="1:13" x14ac:dyDescent="0.35">
      <c r="A70" s="12">
        <v>45946</v>
      </c>
      <c r="B70" s="51">
        <v>244089</v>
      </c>
      <c r="C70" s="3" t="s">
        <v>100</v>
      </c>
      <c r="D70" s="3" t="s">
        <v>260</v>
      </c>
      <c r="E70" s="3" t="s">
        <v>43</v>
      </c>
      <c r="F70" s="3">
        <v>0.5</v>
      </c>
      <c r="G70" s="19">
        <v>17.84</v>
      </c>
      <c r="H70" s="2">
        <f>Table5101332337072[[#This Row],[Quantity]]*Table5101332337072[[#This Row],[Unit Price]]</f>
        <v>8.92</v>
      </c>
      <c r="I70" s="4">
        <v>0.15</v>
      </c>
      <c r="J70" s="3"/>
      <c r="K70" s="4">
        <v>0.13</v>
      </c>
      <c r="L70" s="2">
        <f>(Table5101332337072[[#This Row],[Total]] * (1 - Table5101332337072[[#This Row],[Discount (%)]]) + Table5101332337072[[#This Row],[ΕΦΚ]]) * (1 + Table5101332337072[[#This Row],[TAX (%)]])</f>
        <v>8.5676599999999983</v>
      </c>
      <c r="M70" s="16"/>
    </row>
    <row r="71" spans="1:13" x14ac:dyDescent="0.35">
      <c r="A71" s="12">
        <v>45946</v>
      </c>
      <c r="B71" s="51">
        <v>244089</v>
      </c>
      <c r="C71" s="3" t="s">
        <v>100</v>
      </c>
      <c r="D71" s="3" t="s">
        <v>261</v>
      </c>
      <c r="E71" s="3" t="s">
        <v>43</v>
      </c>
      <c r="F71" s="3">
        <v>0.5</v>
      </c>
      <c r="G71" s="19">
        <v>18.62</v>
      </c>
      <c r="H71" s="2">
        <f>Table5101332337072[[#This Row],[Quantity]]*Table5101332337072[[#This Row],[Unit Price]]</f>
        <v>9.31</v>
      </c>
      <c r="I71" s="4">
        <v>0.15</v>
      </c>
      <c r="J71" s="3"/>
      <c r="K71" s="4">
        <v>0.13</v>
      </c>
      <c r="L71" s="2">
        <f>(Table5101332337072[[#This Row],[Total]] * (1 - Table5101332337072[[#This Row],[Discount (%)]]) + Table5101332337072[[#This Row],[ΕΦΚ]]) * (1 + Table5101332337072[[#This Row],[TAX (%)]])</f>
        <v>8.9422549999999994</v>
      </c>
      <c r="M71" s="16"/>
    </row>
  </sheetData>
  <dataValidations count="3">
    <dataValidation type="date" allowBlank="1" showInputMessage="1" showErrorMessage="1" sqref="A1:A71" xr:uid="{DB35630C-6262-440B-8751-80DFB219FA45}">
      <formula1>1</formula1>
      <formula2>401404</formula2>
    </dataValidation>
    <dataValidation type="list" showInputMessage="1" showErrorMessage="1" sqref="E1:E1048576" xr:uid="{5909467E-0CC3-409A-9129-35FF9AEAEC1C}">
      <formula1>"ΤΕΜ,ΚΙΒ,ΦΙΑ,ΚΙΛΑ,ΛΙΤΡΑ,ΠΑΚ,ΑΛΛΟ"</formula1>
    </dataValidation>
    <dataValidation type="list" showInputMessage="1" showErrorMessage="1" sqref="C1:C1048576" xr:uid="{D9970191-8C7A-42EF-8930-28E7D8F9B169}">
      <formula1>"COFFEE,BEVERAGE,WINE,BEER,FOOD,DAIRY,ALCOHOL,NON-FOOD"</formula1>
    </dataValidation>
  </dataValidations>
  <pageMargins left="0.7" right="0.7" top="0.75" bottom="0.75" header="0.3" footer="0.3"/>
  <ignoredErrors>
    <ignoredError sqref="A1 C1 E1 C72:C1048576 A72:A1048576 E72:E1048576" listDataValidatio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4AE71-9551-4B2A-9D42-B1B2CD5EE510}">
  <dimension ref="A1:N23"/>
  <sheetViews>
    <sheetView workbookViewId="0">
      <selection activeCell="Q13" sqref="Q13"/>
    </sheetView>
  </sheetViews>
  <sheetFormatPr defaultRowHeight="14.5" x14ac:dyDescent="0.35"/>
  <cols>
    <col min="1" max="1" width="11.26953125" style="55" bestFit="1" customWidth="1"/>
    <col min="2" max="2" width="13.453125" bestFit="1" customWidth="1"/>
    <col min="3" max="3" width="11.26953125" bestFit="1" customWidth="1"/>
    <col min="4" max="4" width="41.7265625" bestFit="1" customWidth="1"/>
    <col min="5" max="5" width="8" bestFit="1" customWidth="1"/>
    <col min="6" max="6" width="11.7265625" style="62" bestFit="1" customWidth="1"/>
    <col min="7" max="7" width="14.7265625" style="23" bestFit="1" customWidth="1"/>
    <col min="8" max="8" width="9.81640625" style="56" bestFit="1" customWidth="1"/>
    <col min="9" max="9" width="16.26953125" style="57" bestFit="1" customWidth="1"/>
    <col min="10" max="10" width="8" bestFit="1" customWidth="1"/>
    <col min="11" max="11" width="11.26953125" style="57" bestFit="1" customWidth="1"/>
    <col min="12" max="12" width="12.1796875" style="56" bestFit="1" customWidth="1"/>
    <col min="13" max="13" width="35.7265625" customWidth="1"/>
    <col min="14" max="14" width="12.54296875" style="83" bestFit="1" customWidth="1"/>
  </cols>
  <sheetData>
    <row r="1" spans="1:14" s="8" customFormat="1" ht="14" x14ac:dyDescent="0.3">
      <c r="A1" s="54" t="s">
        <v>3</v>
      </c>
      <c r="B1" s="8" t="s">
        <v>8</v>
      </c>
      <c r="C1" s="8" t="s">
        <v>10</v>
      </c>
      <c r="D1" s="8" t="s">
        <v>97</v>
      </c>
      <c r="E1" s="16" t="s">
        <v>41</v>
      </c>
      <c r="F1" s="60" t="s">
        <v>4</v>
      </c>
      <c r="G1" s="22" t="s">
        <v>6</v>
      </c>
      <c r="H1" s="9" t="s">
        <v>5</v>
      </c>
      <c r="I1" s="10" t="s">
        <v>7</v>
      </c>
      <c r="J1" s="10" t="s">
        <v>60</v>
      </c>
      <c r="K1" s="10" t="s">
        <v>29</v>
      </c>
      <c r="L1" s="14" t="s">
        <v>11</v>
      </c>
      <c r="M1" s="8" t="s">
        <v>198</v>
      </c>
      <c r="N1" s="81" t="s">
        <v>337</v>
      </c>
    </row>
    <row r="2" spans="1:14" s="3" customFormat="1" ht="15" customHeight="1" x14ac:dyDescent="0.3">
      <c r="A2" s="12">
        <v>46121</v>
      </c>
      <c r="B2" s="51">
        <v>1192</v>
      </c>
      <c r="C2" s="3" t="s">
        <v>77</v>
      </c>
      <c r="D2" s="3" t="s">
        <v>274</v>
      </c>
      <c r="E2" s="3" t="s">
        <v>53</v>
      </c>
      <c r="F2" s="61">
        <v>1.45</v>
      </c>
      <c r="G2" s="19">
        <v>14.7</v>
      </c>
      <c r="H2" s="2">
        <f>Table5101332337073[[#This Row],[Quantity]]*Table5101332337073[[#This Row],[Unit Price]]</f>
        <v>21.314999999999998</v>
      </c>
      <c r="I2" s="4"/>
      <c r="K2" s="53">
        <v>0.13</v>
      </c>
      <c r="L2" s="2">
        <f>(Table5101332337073[[#This Row],[Total]] * (1 - Table5101332337073[[#This Row],[Discount (%)]]) + Table5101332337073[[#This Row],[ΕΦΚ]]) * (1 + Table5101332337073[[#This Row],[TAX (%)]])</f>
        <v>24.085949999999997</v>
      </c>
      <c r="M2" s="16" t="s">
        <v>273</v>
      </c>
      <c r="N2" s="84">
        <v>21.34</v>
      </c>
    </row>
    <row r="3" spans="1:14" s="3" customFormat="1" ht="15" customHeight="1" x14ac:dyDescent="0.3">
      <c r="A3" s="12">
        <v>46121</v>
      </c>
      <c r="B3" s="51">
        <v>1192</v>
      </c>
      <c r="C3" s="3" t="s">
        <v>77</v>
      </c>
      <c r="D3" s="3" t="s">
        <v>275</v>
      </c>
      <c r="E3" s="3" t="s">
        <v>53</v>
      </c>
      <c r="F3" s="61">
        <v>0.51</v>
      </c>
      <c r="G3" s="19">
        <v>6.8</v>
      </c>
      <c r="H3" s="2">
        <f>Table5101332337073[[#This Row],[Quantity]]*Table5101332337073[[#This Row],[Unit Price]]</f>
        <v>3.468</v>
      </c>
      <c r="I3" s="4"/>
      <c r="K3" s="4">
        <v>0.13</v>
      </c>
      <c r="L3" s="2">
        <f>(Table5101332337073[[#This Row],[Total]] * (1 - Table5101332337073[[#This Row],[Discount (%)]]) + Table5101332337073[[#This Row],[ΕΦΚ]]) * (1 + Table5101332337073[[#This Row],[TAX (%)]])</f>
        <v>3.9188399999999994</v>
      </c>
      <c r="M3" s="16" t="s">
        <v>273</v>
      </c>
      <c r="N3" s="84"/>
    </row>
    <row r="4" spans="1:14" x14ac:dyDescent="0.35">
      <c r="A4" s="12">
        <v>46121</v>
      </c>
      <c r="B4" s="51">
        <v>1192</v>
      </c>
      <c r="C4" s="3" t="s">
        <v>77</v>
      </c>
      <c r="D4" s="3" t="s">
        <v>281</v>
      </c>
      <c r="E4" s="3" t="s">
        <v>53</v>
      </c>
      <c r="F4" s="61">
        <v>0.51</v>
      </c>
      <c r="G4" s="19">
        <v>8</v>
      </c>
      <c r="H4" s="2">
        <f>Table5101332337073[[#This Row],[Quantity]]*Table5101332337073[[#This Row],[Unit Price]]</f>
        <v>4.08</v>
      </c>
      <c r="I4" s="4"/>
      <c r="J4" s="3"/>
      <c r="K4" s="53">
        <v>0.13</v>
      </c>
      <c r="L4" s="2">
        <f>(Table5101332337073[[#This Row],[Total]] * (1 - Table5101332337073[[#This Row],[Discount (%)]]) + Table5101332337073[[#This Row],[ΕΦΚ]]) * (1 + Table5101332337073[[#This Row],[TAX (%)]])</f>
        <v>4.6103999999999994</v>
      </c>
      <c r="M4" s="16" t="s">
        <v>273</v>
      </c>
      <c r="N4" s="84">
        <v>4.05</v>
      </c>
    </row>
    <row r="5" spans="1:14" x14ac:dyDescent="0.35">
      <c r="A5" s="12">
        <v>46121</v>
      </c>
      <c r="B5" s="51">
        <v>1192</v>
      </c>
      <c r="C5" s="3" t="s">
        <v>77</v>
      </c>
      <c r="D5" s="3" t="s">
        <v>276</v>
      </c>
      <c r="E5" s="3" t="s">
        <v>53</v>
      </c>
      <c r="F5" s="61">
        <v>0.5</v>
      </c>
      <c r="G5" s="19">
        <v>4.3</v>
      </c>
      <c r="H5" s="2">
        <f>Table5101332337073[[#This Row],[Quantity]]*Table5101332337073[[#This Row],[Unit Price]]</f>
        <v>2.15</v>
      </c>
      <c r="I5" s="4"/>
      <c r="J5" s="3"/>
      <c r="K5" s="4">
        <v>0.13</v>
      </c>
      <c r="L5" s="2">
        <f>(Table5101332337073[[#This Row],[Total]] * (1 - Table5101332337073[[#This Row],[Discount (%)]]) + Table5101332337073[[#This Row],[ΕΦΚ]]) * (1 + Table5101332337073[[#This Row],[TAX (%)]])</f>
        <v>2.4294999999999995</v>
      </c>
      <c r="M5" s="16" t="s">
        <v>273</v>
      </c>
      <c r="N5" s="84">
        <v>2.16</v>
      </c>
    </row>
    <row r="6" spans="1:14" x14ac:dyDescent="0.35">
      <c r="A6" s="12">
        <v>46121</v>
      </c>
      <c r="B6" s="51">
        <v>1192</v>
      </c>
      <c r="C6" s="3" t="s">
        <v>77</v>
      </c>
      <c r="D6" s="3" t="s">
        <v>277</v>
      </c>
      <c r="E6" s="3" t="s">
        <v>53</v>
      </c>
      <c r="F6" s="61">
        <v>0.5</v>
      </c>
      <c r="G6" s="19">
        <v>10.9</v>
      </c>
      <c r="H6" s="2">
        <f>Table5101332337073[[#This Row],[Quantity]]*Table5101332337073[[#This Row],[Unit Price]]</f>
        <v>5.45</v>
      </c>
      <c r="I6" s="4"/>
      <c r="J6" s="3"/>
      <c r="K6" s="53">
        <v>0.13</v>
      </c>
      <c r="L6" s="2">
        <f>(Table5101332337073[[#This Row],[Total]] * (1 - Table5101332337073[[#This Row],[Discount (%)]]) + Table5101332337073[[#This Row],[ΕΦΚ]]) * (1 + Table5101332337073[[#This Row],[TAX (%)]])</f>
        <v>6.1584999999999992</v>
      </c>
      <c r="M6" s="16" t="s">
        <v>273</v>
      </c>
      <c r="N6" s="84">
        <v>5.49</v>
      </c>
    </row>
    <row r="7" spans="1:14" x14ac:dyDescent="0.35">
      <c r="A7" s="12">
        <v>46121</v>
      </c>
      <c r="B7" s="51">
        <v>1192</v>
      </c>
      <c r="C7" s="3" t="s">
        <v>77</v>
      </c>
      <c r="D7" s="3" t="s">
        <v>278</v>
      </c>
      <c r="E7" s="3" t="s">
        <v>53</v>
      </c>
      <c r="F7" s="61">
        <v>0.25</v>
      </c>
      <c r="G7" s="19">
        <v>15.65</v>
      </c>
      <c r="H7" s="2">
        <f>Table5101332337073[[#This Row],[Quantity]]*Table5101332337073[[#This Row],[Unit Price]]</f>
        <v>3.9125000000000001</v>
      </c>
      <c r="I7" s="4"/>
      <c r="J7" s="3"/>
      <c r="K7" s="4">
        <v>0.13</v>
      </c>
      <c r="L7" s="2">
        <f>(Table5101332337073[[#This Row],[Total]] * (1 - Table5101332337073[[#This Row],[Discount (%)]]) + Table5101332337073[[#This Row],[ΕΦΚ]]) * (1 + Table5101332337073[[#This Row],[TAX (%)]])</f>
        <v>4.421125</v>
      </c>
      <c r="M7" s="16" t="s">
        <v>273</v>
      </c>
      <c r="N7" s="84"/>
    </row>
    <row r="8" spans="1:14" x14ac:dyDescent="0.35">
      <c r="A8" s="12">
        <v>46121</v>
      </c>
      <c r="B8" s="51">
        <v>1192</v>
      </c>
      <c r="C8" s="3" t="s">
        <v>77</v>
      </c>
      <c r="D8" s="3" t="s">
        <v>279</v>
      </c>
      <c r="E8" s="3" t="s">
        <v>42</v>
      </c>
      <c r="F8" s="61">
        <v>1</v>
      </c>
      <c r="G8" s="19">
        <v>1.4</v>
      </c>
      <c r="H8" s="2">
        <f>Table5101332337073[[#This Row],[Quantity]]*Table5101332337073[[#This Row],[Unit Price]]</f>
        <v>1.4</v>
      </c>
      <c r="I8" s="4"/>
      <c r="J8" s="3"/>
      <c r="K8" s="53">
        <v>0.13</v>
      </c>
      <c r="L8" s="2">
        <f>(Table5101332337073[[#This Row],[Total]] * (1 - Table5101332337073[[#This Row],[Discount (%)]]) + Table5101332337073[[#This Row],[ΕΦΚ]]) * (1 + Table5101332337073[[#This Row],[TAX (%)]])</f>
        <v>1.5819999999999999</v>
      </c>
      <c r="M8" s="16" t="s">
        <v>273</v>
      </c>
      <c r="N8" s="84"/>
    </row>
    <row r="9" spans="1:14" x14ac:dyDescent="0.35">
      <c r="A9" s="12">
        <v>46121</v>
      </c>
      <c r="B9" s="51">
        <v>1192</v>
      </c>
      <c r="C9" s="3" t="s">
        <v>77</v>
      </c>
      <c r="D9" s="3" t="s">
        <v>280</v>
      </c>
      <c r="E9" s="3" t="s">
        <v>53</v>
      </c>
      <c r="F9" s="61">
        <v>0.25</v>
      </c>
      <c r="G9" s="19">
        <v>14.4</v>
      </c>
      <c r="H9" s="2">
        <f>Table5101332337073[[#This Row],[Quantity]]*Table5101332337073[[#This Row],[Unit Price]]</f>
        <v>3.6</v>
      </c>
      <c r="I9" s="4"/>
      <c r="J9" s="3"/>
      <c r="K9" s="4">
        <v>0.13</v>
      </c>
      <c r="L9" s="2">
        <f>(Table5101332337073[[#This Row],[Total]] * (1 - Table5101332337073[[#This Row],[Discount (%)]]) + Table5101332337073[[#This Row],[ΕΦΚ]]) * (1 + Table5101332337073[[#This Row],[TAX (%)]])</f>
        <v>4.0679999999999996</v>
      </c>
      <c r="M9" s="16" t="s">
        <v>273</v>
      </c>
      <c r="N9" s="84" t="s">
        <v>288</v>
      </c>
    </row>
    <row r="10" spans="1:14" x14ac:dyDescent="0.35">
      <c r="A10" s="12">
        <v>46108</v>
      </c>
      <c r="B10" s="3">
        <v>10780</v>
      </c>
      <c r="C10" s="3" t="s">
        <v>77</v>
      </c>
      <c r="D10" s="3" t="s">
        <v>269</v>
      </c>
      <c r="E10" s="3" t="s">
        <v>42</v>
      </c>
      <c r="F10" s="61">
        <v>100</v>
      </c>
      <c r="G10" s="19">
        <v>0.47</v>
      </c>
      <c r="H10" s="2">
        <f>Table5101332337073[[#This Row],[Quantity]]*Table5101332337073[[#This Row],[Unit Price]]</f>
        <v>47</v>
      </c>
      <c r="I10" s="4">
        <v>0.15</v>
      </c>
      <c r="J10" s="4"/>
      <c r="K10" s="4">
        <v>0.13</v>
      </c>
      <c r="L10" s="5">
        <f>(Table5101332337073[[#This Row],[Total]] * (1 - Table5101332337073[[#This Row],[Discount (%)]]) + Table5101332337073[[#This Row],[ΕΦΚ]]) * (1 + Table5101332337073[[#This Row],[TAX (%)]])</f>
        <v>45.143499999999989</v>
      </c>
      <c r="M10" s="3" t="s">
        <v>270</v>
      </c>
      <c r="N10" s="82"/>
    </row>
    <row r="11" spans="1:14" x14ac:dyDescent="0.35">
      <c r="A11" s="50">
        <v>46104</v>
      </c>
      <c r="B11" s="51">
        <v>844</v>
      </c>
      <c r="C11" s="12" t="s">
        <v>77</v>
      </c>
      <c r="D11" s="3" t="s">
        <v>271</v>
      </c>
      <c r="E11" s="3" t="s">
        <v>42</v>
      </c>
      <c r="F11" s="52">
        <v>54</v>
      </c>
      <c r="G11" s="19">
        <v>0.66</v>
      </c>
      <c r="H11" s="2">
        <f>Table5101332337073[[#This Row],[Quantity]]*Table5101332337073[[#This Row],[Unit Price]]</f>
        <v>35.64</v>
      </c>
      <c r="I11" s="4">
        <v>0.17</v>
      </c>
      <c r="J11" s="4"/>
      <c r="K11" s="53">
        <v>0.13</v>
      </c>
      <c r="L11" s="2">
        <f>(Table5101332337073[[#This Row],[Total]] * (1 - Table5101332337073[[#This Row],[Discount (%)]]) + Table5101332337073[[#This Row],[ΕΦΚ]]) * (1 + Table5101332337073[[#This Row],[TAX (%)]])</f>
        <v>33.426755999999997</v>
      </c>
      <c r="M11" s="16" t="s">
        <v>272</v>
      </c>
      <c r="N11" s="82"/>
    </row>
    <row r="12" spans="1:14" x14ac:dyDescent="0.35">
      <c r="A12" s="12">
        <v>46101</v>
      </c>
      <c r="B12" s="51">
        <v>820</v>
      </c>
      <c r="C12" s="3" t="s">
        <v>77</v>
      </c>
      <c r="D12" s="3" t="s">
        <v>282</v>
      </c>
      <c r="E12" s="3" t="s">
        <v>42</v>
      </c>
      <c r="F12" s="61">
        <v>1</v>
      </c>
      <c r="G12" s="19">
        <v>5.8</v>
      </c>
      <c r="H12" s="2">
        <f>Table5101332337073[[#This Row],[Quantity]]*Table5101332337073[[#This Row],[Unit Price]]</f>
        <v>5.8</v>
      </c>
      <c r="I12" s="4"/>
      <c r="J12" s="3"/>
      <c r="K12" s="4">
        <v>0.13</v>
      </c>
      <c r="L12" s="2">
        <f>(Table5101332337073[[#This Row],[Total]] * (1 - Table5101332337073[[#This Row],[Discount (%)]]) + Table5101332337073[[#This Row],[ΕΦΚ]]) * (1 + Table5101332337073[[#This Row],[TAX (%)]])</f>
        <v>6.5539999999999994</v>
      </c>
      <c r="M12" s="16" t="s">
        <v>273</v>
      </c>
      <c r="N12" s="85"/>
    </row>
    <row r="13" spans="1:14" x14ac:dyDescent="0.35">
      <c r="A13" s="12">
        <v>46101</v>
      </c>
      <c r="B13" s="51">
        <v>820</v>
      </c>
      <c r="C13" s="3" t="s">
        <v>77</v>
      </c>
      <c r="D13" s="3" t="s">
        <v>280</v>
      </c>
      <c r="E13" s="3" t="s">
        <v>53</v>
      </c>
      <c r="F13" s="61">
        <v>0.5</v>
      </c>
      <c r="G13" s="19">
        <v>16.2</v>
      </c>
      <c r="H13" s="2">
        <f>Table5101332337073[[#This Row],[Quantity]]*Table5101332337073[[#This Row],[Unit Price]]</f>
        <v>8.1</v>
      </c>
      <c r="I13" s="4"/>
      <c r="J13" s="3"/>
      <c r="K13" s="53">
        <v>0.13</v>
      </c>
      <c r="L13" s="2">
        <f>(Table5101332337073[[#This Row],[Total]] * (1 - Table5101332337073[[#This Row],[Discount (%)]]) + Table5101332337073[[#This Row],[ΕΦΚ]]) * (1 + Table5101332337073[[#This Row],[TAX (%)]])</f>
        <v>9.1529999999999987</v>
      </c>
      <c r="M13" s="16" t="s">
        <v>273</v>
      </c>
      <c r="N13" s="85"/>
    </row>
    <row r="14" spans="1:14" x14ac:dyDescent="0.35">
      <c r="A14" s="12">
        <v>46101</v>
      </c>
      <c r="B14" s="51">
        <v>820</v>
      </c>
      <c r="C14" s="3" t="s">
        <v>77</v>
      </c>
      <c r="D14" s="3" t="s">
        <v>283</v>
      </c>
      <c r="E14" s="3" t="s">
        <v>53</v>
      </c>
      <c r="F14" s="61">
        <v>1</v>
      </c>
      <c r="G14" s="19">
        <v>3.1</v>
      </c>
      <c r="H14" s="2">
        <f>Table5101332337073[[#This Row],[Quantity]]*Table5101332337073[[#This Row],[Unit Price]]</f>
        <v>3.1</v>
      </c>
      <c r="I14" s="4"/>
      <c r="J14" s="3"/>
      <c r="K14" s="4">
        <v>0.13</v>
      </c>
      <c r="L14" s="2">
        <f>(Table5101332337073[[#This Row],[Total]] * (1 - Table5101332337073[[#This Row],[Discount (%)]]) + Table5101332337073[[#This Row],[ΕΦΚ]]) * (1 + Table5101332337073[[#This Row],[TAX (%)]])</f>
        <v>3.5029999999999997</v>
      </c>
      <c r="M14" s="16" t="s">
        <v>273</v>
      </c>
      <c r="N14" s="85"/>
    </row>
    <row r="15" spans="1:14" x14ac:dyDescent="0.35">
      <c r="A15" s="12">
        <v>46101</v>
      </c>
      <c r="B15" s="51">
        <v>820</v>
      </c>
      <c r="C15" s="3" t="s">
        <v>77</v>
      </c>
      <c r="D15" s="3" t="s">
        <v>284</v>
      </c>
      <c r="E15" s="3" t="s">
        <v>53</v>
      </c>
      <c r="F15" s="61">
        <v>0.25</v>
      </c>
      <c r="G15" s="19">
        <v>5.4</v>
      </c>
      <c r="H15" s="2">
        <f>Table5101332337073[[#This Row],[Quantity]]*Table5101332337073[[#This Row],[Unit Price]]</f>
        <v>1.35</v>
      </c>
      <c r="I15" s="4"/>
      <c r="J15" s="3"/>
      <c r="K15" s="4">
        <v>0.13</v>
      </c>
      <c r="L15" s="2">
        <f>(Table5101332337073[[#This Row],[Total]] * (1 - Table5101332337073[[#This Row],[Discount (%)]]) + Table5101332337073[[#This Row],[ΕΦΚ]]) * (1 + Table5101332337073[[#This Row],[TAX (%)]])</f>
        <v>1.5254999999999999</v>
      </c>
      <c r="M15" s="16" t="s">
        <v>273</v>
      </c>
      <c r="N15" s="85"/>
    </row>
    <row r="16" spans="1:14" x14ac:dyDescent="0.35">
      <c r="A16" s="12">
        <v>46101</v>
      </c>
      <c r="B16" s="51">
        <v>820</v>
      </c>
      <c r="C16" s="3" t="s">
        <v>77</v>
      </c>
      <c r="D16" s="3" t="s">
        <v>274</v>
      </c>
      <c r="E16" s="3" t="s">
        <v>53</v>
      </c>
      <c r="F16" s="61">
        <v>0.73</v>
      </c>
      <c r="G16" s="19">
        <v>15.2</v>
      </c>
      <c r="H16" s="2">
        <f>Table5101332337073[[#This Row],[Quantity]]*Table5101332337073[[#This Row],[Unit Price]]</f>
        <v>11.096</v>
      </c>
      <c r="I16" s="4"/>
      <c r="J16" s="3"/>
      <c r="K16" s="53">
        <v>0.13</v>
      </c>
      <c r="L16" s="2">
        <f>(Table5101332337073[[#This Row],[Total]] * (1 - Table5101332337073[[#This Row],[Discount (%)]]) + Table5101332337073[[#This Row],[ΕΦΚ]]) * (1 + Table5101332337073[[#This Row],[TAX (%)]])</f>
        <v>12.538479999999998</v>
      </c>
      <c r="M16" s="16" t="s">
        <v>273</v>
      </c>
      <c r="N16" s="85">
        <v>11.13</v>
      </c>
    </row>
    <row r="17" spans="1:14" x14ac:dyDescent="0.35">
      <c r="A17" s="12">
        <v>46101</v>
      </c>
      <c r="B17" s="51">
        <v>820</v>
      </c>
      <c r="C17" s="3" t="s">
        <v>77</v>
      </c>
      <c r="D17" s="3" t="s">
        <v>285</v>
      </c>
      <c r="E17" s="3" t="s">
        <v>53</v>
      </c>
      <c r="F17" s="61">
        <v>0.83</v>
      </c>
      <c r="G17" s="19">
        <v>7.95</v>
      </c>
      <c r="H17" s="2">
        <f>Table5101332337073[[#This Row],[Quantity]]*Table5101332337073[[#This Row],[Unit Price]]</f>
        <v>6.5984999999999996</v>
      </c>
      <c r="I17" s="4"/>
      <c r="J17" s="3"/>
      <c r="K17" s="4">
        <v>0.13</v>
      </c>
      <c r="L17" s="2">
        <f>(Table5101332337073[[#This Row],[Total]] * (1 - Table5101332337073[[#This Row],[Discount (%)]]) + Table5101332337073[[#This Row],[ΕΦΚ]]) * (1 + Table5101332337073[[#This Row],[TAX (%)]])</f>
        <v>7.4563049999999986</v>
      </c>
      <c r="M17" s="16" t="s">
        <v>273</v>
      </c>
      <c r="N17" s="85">
        <v>6.61</v>
      </c>
    </row>
    <row r="18" spans="1:14" x14ac:dyDescent="0.35">
      <c r="A18" s="12">
        <v>46101</v>
      </c>
      <c r="B18" s="51">
        <v>820</v>
      </c>
      <c r="C18" s="3" t="s">
        <v>77</v>
      </c>
      <c r="D18" s="3" t="s">
        <v>281</v>
      </c>
      <c r="E18" s="3" t="s">
        <v>53</v>
      </c>
      <c r="F18" s="61">
        <v>0.49</v>
      </c>
      <c r="G18" s="19">
        <v>8</v>
      </c>
      <c r="H18" s="2">
        <f>Table5101332337073[[#This Row],[Quantity]]*Table5101332337073[[#This Row],[Unit Price]]</f>
        <v>3.92</v>
      </c>
      <c r="I18" s="4"/>
      <c r="J18" s="3"/>
      <c r="K18" s="4">
        <v>0.13</v>
      </c>
      <c r="L18" s="2">
        <f>(Table5101332337073[[#This Row],[Total]] * (1 - Table5101332337073[[#This Row],[Discount (%)]]) + Table5101332337073[[#This Row],[ΕΦΚ]]) * (1 + Table5101332337073[[#This Row],[TAX (%)]])</f>
        <v>4.4295999999999998</v>
      </c>
      <c r="M18" s="16" t="s">
        <v>273</v>
      </c>
      <c r="N18" s="85">
        <v>3.94</v>
      </c>
    </row>
    <row r="19" spans="1:14" x14ac:dyDescent="0.35">
      <c r="A19" s="12">
        <v>46101</v>
      </c>
      <c r="B19" s="51">
        <v>820</v>
      </c>
      <c r="C19" s="3" t="s">
        <v>77</v>
      </c>
      <c r="D19" s="3" t="s">
        <v>279</v>
      </c>
      <c r="E19" s="3" t="s">
        <v>42</v>
      </c>
      <c r="F19" s="61">
        <v>1</v>
      </c>
      <c r="G19" s="19">
        <v>1.7</v>
      </c>
      <c r="H19" s="2">
        <f>Table5101332337073[[#This Row],[Quantity]]*Table5101332337073[[#This Row],[Unit Price]]</f>
        <v>1.7</v>
      </c>
      <c r="I19" s="4"/>
      <c r="J19" s="3"/>
      <c r="K19" s="53">
        <v>0.13</v>
      </c>
      <c r="L19" s="2">
        <f>(Table5101332337073[[#This Row],[Total]] * (1 - Table5101332337073[[#This Row],[Discount (%)]]) + Table5101332337073[[#This Row],[ΕΦΚ]]) * (1 + Table5101332337073[[#This Row],[TAX (%)]])</f>
        <v>1.9209999999999998</v>
      </c>
      <c r="M19" s="16" t="s">
        <v>273</v>
      </c>
      <c r="N19" s="85"/>
    </row>
    <row r="20" spans="1:14" x14ac:dyDescent="0.35">
      <c r="A20" s="12">
        <v>46101</v>
      </c>
      <c r="B20" s="51">
        <v>820</v>
      </c>
      <c r="C20" s="3" t="s">
        <v>77</v>
      </c>
      <c r="D20" s="3" t="s">
        <v>286</v>
      </c>
      <c r="E20" s="3" t="s">
        <v>53</v>
      </c>
      <c r="F20" s="61">
        <v>0.5</v>
      </c>
      <c r="G20" s="19">
        <v>4.9000000000000004</v>
      </c>
      <c r="H20" s="2">
        <f>Table5101332337073[[#This Row],[Quantity]]*Table5101332337073[[#This Row],[Unit Price]]</f>
        <v>2.4500000000000002</v>
      </c>
      <c r="I20" s="4"/>
      <c r="J20" s="3"/>
      <c r="K20" s="4">
        <v>0.13</v>
      </c>
      <c r="L20" s="2">
        <f>(Table5101332337073[[#This Row],[Total]] * (1 - Table5101332337073[[#This Row],[Discount (%)]]) + Table5101332337073[[#This Row],[ΕΦΚ]]) * (1 + Table5101332337073[[#This Row],[TAX (%)]])</f>
        <v>2.7685</v>
      </c>
      <c r="M20" s="16" t="s">
        <v>273</v>
      </c>
      <c r="N20" s="85" t="s">
        <v>287</v>
      </c>
    </row>
    <row r="21" spans="1:14" x14ac:dyDescent="0.35">
      <c r="A21" s="12">
        <v>46098</v>
      </c>
      <c r="B21" s="51">
        <v>704</v>
      </c>
      <c r="C21" s="3" t="s">
        <v>101</v>
      </c>
      <c r="D21" s="3" t="s">
        <v>336</v>
      </c>
      <c r="E21" s="3" t="s">
        <v>42</v>
      </c>
      <c r="F21" s="61">
        <v>50</v>
      </c>
      <c r="G21" s="19">
        <v>1.55</v>
      </c>
      <c r="H21" s="2">
        <f>Table5101332337073[[#This Row],[Quantity]]*Table5101332337073[[#This Row],[Unit Price]]</f>
        <v>77.5</v>
      </c>
      <c r="I21" s="4"/>
      <c r="J21" s="3"/>
      <c r="K21" s="4">
        <v>0.13</v>
      </c>
      <c r="L21" s="2">
        <f>(Table5101332337073[[#This Row],[Total]] * (1 - Table5101332337073[[#This Row],[Discount (%)]]) + Table5101332337073[[#This Row],[ΕΦΚ]]) * (1 + Table5101332337073[[#This Row],[TAX (%)]])</f>
        <v>87.574999999999989</v>
      </c>
      <c r="M21" s="16" t="s">
        <v>272</v>
      </c>
      <c r="N21" s="82"/>
    </row>
    <row r="22" spans="1:14" x14ac:dyDescent="0.35">
      <c r="A22" s="12">
        <v>46084</v>
      </c>
      <c r="B22" s="51">
        <v>529</v>
      </c>
      <c r="C22" s="3" t="s">
        <v>77</v>
      </c>
      <c r="D22" s="3" t="s">
        <v>271</v>
      </c>
      <c r="E22" s="3" t="s">
        <v>42</v>
      </c>
      <c r="F22" s="61">
        <v>54</v>
      </c>
      <c r="G22" s="19">
        <v>0.66</v>
      </c>
      <c r="H22" s="2">
        <f>Table5101332337073[[#This Row],[Quantity]]*Table5101332337073[[#This Row],[Unit Price]]</f>
        <v>35.64</v>
      </c>
      <c r="I22" s="4">
        <v>0.17</v>
      </c>
      <c r="J22" s="3"/>
      <c r="K22" s="4">
        <v>0.13</v>
      </c>
      <c r="L22" s="2">
        <f>(Table5101332337073[[#This Row],[Total]] * (1 - Table5101332337073[[#This Row],[Discount (%)]]) + Table5101332337073[[#This Row],[ΕΦΚ]]) * (1 + Table5101332337073[[#This Row],[TAX (%)]])</f>
        <v>33.426755999999997</v>
      </c>
      <c r="M22" s="16" t="s">
        <v>272</v>
      </c>
      <c r="N22" s="82"/>
    </row>
    <row r="23" spans="1:14" x14ac:dyDescent="0.35">
      <c r="A23" s="12">
        <v>46008</v>
      </c>
      <c r="B23" s="3">
        <v>10589</v>
      </c>
      <c r="C23" s="3" t="s">
        <v>77</v>
      </c>
      <c r="D23" s="3" t="s">
        <v>269</v>
      </c>
      <c r="E23" s="3" t="s">
        <v>42</v>
      </c>
      <c r="F23" s="61">
        <v>150</v>
      </c>
      <c r="G23" s="19">
        <v>0.47</v>
      </c>
      <c r="H23" s="2">
        <f>Table5101332337073[[#This Row],[Quantity]]*Table5101332337073[[#This Row],[Unit Price]]</f>
        <v>70.5</v>
      </c>
      <c r="I23" s="4">
        <v>0.15</v>
      </c>
      <c r="J23" s="4"/>
      <c r="K23" s="4">
        <v>0.13</v>
      </c>
      <c r="L23" s="5">
        <f>(Table5101332337073[[#This Row],[Total]] * (1 - Table5101332337073[[#This Row],[Discount (%)]]) + Table5101332337073[[#This Row],[ΕΦΚ]]) * (1 + Table5101332337073[[#This Row],[TAX (%)]])</f>
        <v>67.715249999999997</v>
      </c>
      <c r="M23" s="3" t="s">
        <v>270</v>
      </c>
      <c r="N23" s="82"/>
    </row>
  </sheetData>
  <dataValidations count="3">
    <dataValidation type="date" allowBlank="1" showInputMessage="1" showErrorMessage="1" sqref="A1:A23" xr:uid="{06331EAD-52D6-4159-9F6E-C1DA08D0060B}">
      <formula1>1</formula1>
      <formula2>401404</formula2>
    </dataValidation>
    <dataValidation type="list" showInputMessage="1" showErrorMessage="1" sqref="E1:E1048576" xr:uid="{B38A645D-FEC0-4C92-8D5C-E34DFA1809F3}">
      <formula1>"ΤΕΜ,ΚΙΒ,ΦΙΑ,ΚΙΛΑ,ΛΙΤΡΑ,ΠΑΚ,ΑΛΛΟ"</formula1>
    </dataValidation>
    <dataValidation type="list" showInputMessage="1" showErrorMessage="1" sqref="C1:C1048576" xr:uid="{F54EB5FE-9C7F-4EF1-A1E3-8F3CD76CA512}">
      <formula1>"COFFEE,BEVERAGE,WINE,BEER,FOOD,DAIRY,ALCOHOL,NON-FOOD"</formula1>
    </dataValidation>
  </dataValidations>
  <pageMargins left="0.7" right="0.7" top="0.75" bottom="0.75" header="0.3" footer="0.3"/>
  <ignoredErrors>
    <ignoredError sqref="C1 E1 C24:C1048576 A1 A24:A1048576 E24:E1048576" listDataValidation="1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7"/>
  <sheetViews>
    <sheetView workbookViewId="0">
      <selection activeCell="I29" sqref="I29"/>
    </sheetView>
  </sheetViews>
  <sheetFormatPr defaultColWidth="8.7265625" defaultRowHeight="14" x14ac:dyDescent="0.3"/>
  <cols>
    <col min="1" max="1" width="11.26953125" style="16" bestFit="1" customWidth="1"/>
    <col min="2" max="2" width="13.453125" style="16" bestFit="1" customWidth="1"/>
    <col min="3" max="3" width="12.54296875" style="16" bestFit="1" customWidth="1"/>
    <col min="4" max="4" width="49.453125" style="16" bestFit="1" customWidth="1"/>
    <col min="5" max="5" width="8" style="16" bestFit="1" customWidth="1"/>
    <col min="6" max="6" width="11.7265625" style="16" bestFit="1" customWidth="1"/>
    <col min="7" max="7" width="14.7265625" style="20" bestFit="1" customWidth="1"/>
    <col min="8" max="8" width="9.81640625" style="16" bestFit="1" customWidth="1"/>
    <col min="9" max="9" width="16.26953125" style="16" bestFit="1" customWidth="1"/>
    <col min="10" max="10" width="8" style="16" bestFit="1" customWidth="1"/>
    <col min="11" max="11" width="11.26953125" style="17" bestFit="1" customWidth="1"/>
    <col min="12" max="13" width="12.1796875" style="16" bestFit="1" customWidth="1"/>
    <col min="14" max="16384" width="8.7265625" style="16"/>
  </cols>
  <sheetData>
    <row r="1" spans="1:13" s="8" customFormat="1" x14ac:dyDescent="0.3">
      <c r="A1" s="8" t="s">
        <v>3</v>
      </c>
      <c r="B1" s="8" t="s">
        <v>8</v>
      </c>
      <c r="C1" s="8" t="s">
        <v>10</v>
      </c>
      <c r="D1" s="8" t="s">
        <v>97</v>
      </c>
      <c r="E1" s="16" t="s">
        <v>41</v>
      </c>
      <c r="F1" s="8" t="s">
        <v>4</v>
      </c>
      <c r="G1" s="22" t="s">
        <v>6</v>
      </c>
      <c r="H1" s="9" t="s">
        <v>5</v>
      </c>
      <c r="I1" s="10" t="s">
        <v>7</v>
      </c>
      <c r="J1" s="10" t="s">
        <v>60</v>
      </c>
      <c r="K1" s="10" t="s">
        <v>29</v>
      </c>
      <c r="L1" s="10" t="s">
        <v>11</v>
      </c>
      <c r="M1" s="8" t="s">
        <v>198</v>
      </c>
    </row>
    <row r="2" spans="1:13" s="3" customFormat="1" ht="15" customHeight="1" x14ac:dyDescent="0.3">
      <c r="A2" s="12">
        <v>46097</v>
      </c>
      <c r="B2" s="51">
        <v>2000</v>
      </c>
      <c r="C2" s="3" t="s">
        <v>77</v>
      </c>
      <c r="D2" s="3" t="s">
        <v>190</v>
      </c>
      <c r="E2" s="3" t="s">
        <v>42</v>
      </c>
      <c r="F2" s="3">
        <v>2</v>
      </c>
      <c r="G2" s="19">
        <v>1.91</v>
      </c>
      <c r="H2" s="2">
        <f>Table510133233[[#This Row],[Quantity]]*Table510133233[[#This Row],[Unit Price]]</f>
        <v>3.82</v>
      </c>
      <c r="K2" s="4">
        <v>0.13</v>
      </c>
      <c r="L2" s="2">
        <f>(Table510133233[[#This Row],[Total]] * (1 - Table510133233[[#This Row],[Discount (%)]]) + Table510133233[[#This Row],[ΕΦΚ]]) * (1 + Table510133233[[#This Row],[TAX (%)]])</f>
        <v>4.3165999999999993</v>
      </c>
      <c r="M2" s="16"/>
    </row>
    <row r="3" spans="1:13" s="3" customFormat="1" ht="15" customHeight="1" x14ac:dyDescent="0.3">
      <c r="A3" s="12">
        <v>46097</v>
      </c>
      <c r="B3" s="51">
        <v>2000</v>
      </c>
      <c r="C3" s="3" t="s">
        <v>77</v>
      </c>
      <c r="D3" s="3" t="s">
        <v>191</v>
      </c>
      <c r="E3" s="3" t="s">
        <v>42</v>
      </c>
      <c r="F3" s="3">
        <v>3</v>
      </c>
      <c r="G3" s="19">
        <v>1.76</v>
      </c>
      <c r="H3" s="2">
        <f>Table510133233[[#This Row],[Quantity]]*Table510133233[[#This Row],[Unit Price]]</f>
        <v>5.28</v>
      </c>
      <c r="K3" s="4">
        <v>0.13</v>
      </c>
      <c r="L3" s="2">
        <f>(Table510133233[[#This Row],[Total]] * (1 - Table510133233[[#This Row],[Discount (%)]]) + Table510133233[[#This Row],[ΕΦΚ]]) * (1 + Table510133233[[#This Row],[TAX (%)]])</f>
        <v>5.9664000000000001</v>
      </c>
      <c r="M3" s="16"/>
    </row>
    <row r="4" spans="1:13" x14ac:dyDescent="0.3">
      <c r="A4" s="12">
        <v>46097</v>
      </c>
      <c r="B4" s="51">
        <v>2000</v>
      </c>
      <c r="C4" s="3" t="s">
        <v>101</v>
      </c>
      <c r="D4" s="3" t="s">
        <v>189</v>
      </c>
      <c r="E4" s="3" t="s">
        <v>42</v>
      </c>
      <c r="F4" s="3">
        <v>1</v>
      </c>
      <c r="G4" s="19">
        <v>0.08</v>
      </c>
      <c r="H4" s="2">
        <f>Table510133233[[#This Row],[Quantity]]*Table510133233[[#This Row],[Unit Price]]</f>
        <v>0.08</v>
      </c>
      <c r="I4" s="3"/>
      <c r="J4" s="3"/>
      <c r="K4" s="4">
        <v>0.24</v>
      </c>
      <c r="L4" s="2">
        <f>(Table510133233[[#This Row],[Total]] * (1 - Table510133233[[#This Row],[Discount (%)]]) + Table510133233[[#This Row],[ΕΦΚ]]) * (1 + Table510133233[[#This Row],[TAX (%)]])</f>
        <v>9.9199999999999997E-2</v>
      </c>
    </row>
    <row r="5" spans="1:13" x14ac:dyDescent="0.3">
      <c r="A5" s="50">
        <v>46081</v>
      </c>
      <c r="B5" s="51">
        <v>1964</v>
      </c>
      <c r="C5" s="12" t="s">
        <v>101</v>
      </c>
      <c r="D5" s="3" t="s">
        <v>186</v>
      </c>
      <c r="E5" s="3" t="s">
        <v>42</v>
      </c>
      <c r="F5" s="52">
        <v>1</v>
      </c>
      <c r="G5" s="19">
        <v>1.42</v>
      </c>
      <c r="H5" s="2">
        <f>Table510133233[[#This Row],[Quantity]]*Table510133233[[#This Row],[Unit Price]]</f>
        <v>1.42</v>
      </c>
      <c r="I5" s="4"/>
      <c r="J5" s="4"/>
      <c r="K5" s="53">
        <v>0.13</v>
      </c>
      <c r="L5" s="2">
        <f>(Table510133233[[#This Row],[Total]] * (1 - Table510133233[[#This Row],[Discount (%)]]) + Table510133233[[#This Row],[ΕΦΚ]]) * (1 + Table510133233[[#This Row],[TAX (%)]])</f>
        <v>1.6045999999999998</v>
      </c>
    </row>
    <row r="6" spans="1:13" x14ac:dyDescent="0.3">
      <c r="A6" s="50">
        <v>46081</v>
      </c>
      <c r="B6" s="51">
        <v>1964</v>
      </c>
      <c r="C6" s="3" t="s">
        <v>101</v>
      </c>
      <c r="D6" s="3" t="s">
        <v>187</v>
      </c>
      <c r="E6" s="3" t="s">
        <v>42</v>
      </c>
      <c r="F6" s="3">
        <v>1</v>
      </c>
      <c r="G6" s="19">
        <v>2.35</v>
      </c>
      <c r="H6" s="2">
        <f>Table510133233[[#This Row],[Quantity]]*Table510133233[[#This Row],[Unit Price]]</f>
        <v>2.35</v>
      </c>
      <c r="I6" s="3"/>
      <c r="J6" s="3"/>
      <c r="K6" s="4">
        <v>0.13</v>
      </c>
      <c r="L6" s="2">
        <f>(Table510133233[[#This Row],[Total]] * (1 - Table510133233[[#This Row],[Discount (%)]]) + Table510133233[[#This Row],[ΕΦΚ]]) * (1 + Table510133233[[#This Row],[TAX (%)]])</f>
        <v>2.6555</v>
      </c>
    </row>
    <row r="7" spans="1:13" x14ac:dyDescent="0.3">
      <c r="A7" s="50">
        <v>46081</v>
      </c>
      <c r="B7" s="51">
        <v>1964</v>
      </c>
      <c r="C7" s="3" t="s">
        <v>89</v>
      </c>
      <c r="D7" s="3" t="s">
        <v>188</v>
      </c>
      <c r="E7" s="3" t="s">
        <v>42</v>
      </c>
      <c r="F7" s="3">
        <v>2</v>
      </c>
      <c r="G7" s="19">
        <v>0.93</v>
      </c>
      <c r="H7" s="2">
        <f>Table510133233[[#This Row],[Quantity]]*Table510133233[[#This Row],[Unit Price]]</f>
        <v>1.86</v>
      </c>
      <c r="I7" s="3"/>
      <c r="J7" s="3"/>
      <c r="K7" s="4">
        <v>0.13</v>
      </c>
      <c r="L7" s="2">
        <f>(Table510133233[[#This Row],[Total]] * (1 - Table510133233[[#This Row],[Discount (%)]]) + Table510133233[[#This Row],[ΕΦΚ]]) * (1 + Table510133233[[#This Row],[TAX (%)]])</f>
        <v>2.1017999999999999</v>
      </c>
    </row>
    <row r="8" spans="1:13" x14ac:dyDescent="0.3">
      <c r="A8" s="50">
        <v>46081</v>
      </c>
      <c r="B8" s="51">
        <v>1964</v>
      </c>
      <c r="C8" s="3" t="s">
        <v>101</v>
      </c>
      <c r="D8" s="3" t="s">
        <v>189</v>
      </c>
      <c r="E8" s="3" t="s">
        <v>42</v>
      </c>
      <c r="F8" s="3">
        <v>1</v>
      </c>
      <c r="G8" s="19">
        <v>0.08</v>
      </c>
      <c r="H8" s="2">
        <f>Table510133233[[#This Row],[Quantity]]*Table510133233[[#This Row],[Unit Price]]</f>
        <v>0.08</v>
      </c>
      <c r="I8" s="3"/>
      <c r="J8" s="3"/>
      <c r="K8" s="4">
        <v>0.24</v>
      </c>
      <c r="L8" s="2">
        <f>(Table510133233[[#This Row],[Total]] * (1 - Table510133233[[#This Row],[Discount (%)]]) + Table510133233[[#This Row],[ΕΦΚ]]) * (1 + Table510133233[[#This Row],[TAX (%)]])</f>
        <v>9.9199999999999997E-2</v>
      </c>
    </row>
    <row r="9" spans="1:13" x14ac:dyDescent="0.3">
      <c r="A9" s="12">
        <v>46069</v>
      </c>
      <c r="B9" s="3">
        <v>1947</v>
      </c>
      <c r="C9" s="3" t="s">
        <v>101</v>
      </c>
      <c r="D9" s="3" t="s">
        <v>186</v>
      </c>
      <c r="E9" s="3" t="s">
        <v>42</v>
      </c>
      <c r="F9" s="3">
        <v>2</v>
      </c>
      <c r="G9" s="19">
        <v>1.42</v>
      </c>
      <c r="H9" s="2">
        <f>Table510133233[[#This Row],[Quantity]]*Table510133233[[#This Row],[Unit Price]]</f>
        <v>2.84</v>
      </c>
      <c r="I9" s="4"/>
      <c r="J9" s="4"/>
      <c r="K9" s="4">
        <v>0.13</v>
      </c>
      <c r="L9" s="5">
        <f>(Table510133233[[#This Row],[Total]] * (1 - Table510133233[[#This Row],[Discount (%)]]) + Table510133233[[#This Row],[ΕΦΚ]]) * (1 + Table510133233[[#This Row],[TAX (%)]])</f>
        <v>3.2091999999999996</v>
      </c>
      <c r="M9" s="3"/>
    </row>
    <row r="10" spans="1:13" x14ac:dyDescent="0.3">
      <c r="A10" s="12">
        <v>46069</v>
      </c>
      <c r="B10" s="3">
        <v>1947</v>
      </c>
      <c r="C10" s="3" t="s">
        <v>100</v>
      </c>
      <c r="D10" s="3" t="s">
        <v>206</v>
      </c>
      <c r="E10" s="3" t="s">
        <v>42</v>
      </c>
      <c r="F10" s="3">
        <v>2</v>
      </c>
      <c r="G10" s="19">
        <v>0.85</v>
      </c>
      <c r="H10" s="2">
        <f>Table510133233[[#This Row],[Quantity]]*Table510133233[[#This Row],[Unit Price]]</f>
        <v>1.7</v>
      </c>
      <c r="I10" s="4"/>
      <c r="J10" s="4"/>
      <c r="K10" s="4">
        <v>0.13</v>
      </c>
      <c r="L10" s="5">
        <f>(Table510133233[[#This Row],[Total]] * (1 - Table510133233[[#This Row],[Discount (%)]]) + Table510133233[[#This Row],[ΕΦΚ]]) * (1 + Table510133233[[#This Row],[TAX (%)]])</f>
        <v>1.9209999999999998</v>
      </c>
      <c r="M10" s="3"/>
    </row>
    <row r="11" spans="1:13" x14ac:dyDescent="0.3">
      <c r="A11" s="12">
        <v>45976</v>
      </c>
      <c r="B11" s="51">
        <v>0</v>
      </c>
      <c r="C11" s="3" t="s">
        <v>77</v>
      </c>
      <c r="D11" s="3" t="s">
        <v>200</v>
      </c>
      <c r="E11" s="3" t="s">
        <v>53</v>
      </c>
      <c r="F11" s="3">
        <v>7.97</v>
      </c>
      <c r="G11" s="19">
        <v>1.45</v>
      </c>
      <c r="H11" s="2">
        <f>Table510133233[[#This Row],[Quantity]]*Table510133233[[#This Row],[Unit Price]]</f>
        <v>11.5565</v>
      </c>
      <c r="I11" s="3"/>
      <c r="J11" s="3"/>
      <c r="K11" s="4">
        <v>0</v>
      </c>
      <c r="L11" s="2">
        <f>(Table510133233[[#This Row],[Total]] * (1 - Table510133233[[#This Row],[Discount (%)]]) + Table510133233[[#This Row],[ΕΦΚ]]) * (1 + Table510133233[[#This Row],[TAX (%)]])</f>
        <v>11.5565</v>
      </c>
      <c r="M11" s="16" t="s">
        <v>197</v>
      </c>
    </row>
    <row r="12" spans="1:13" x14ac:dyDescent="0.3">
      <c r="A12" s="12">
        <v>45971</v>
      </c>
      <c r="B12" s="51">
        <v>0</v>
      </c>
      <c r="C12" s="3" t="s">
        <v>77</v>
      </c>
      <c r="D12" s="3" t="s">
        <v>199</v>
      </c>
      <c r="E12" s="3" t="s">
        <v>42</v>
      </c>
      <c r="F12" s="3">
        <v>1</v>
      </c>
      <c r="G12" s="19">
        <v>2.8</v>
      </c>
      <c r="H12" s="2">
        <f>Table510133233[[#This Row],[Quantity]]*Table510133233[[#This Row],[Unit Price]]</f>
        <v>2.8</v>
      </c>
      <c r="I12" s="3"/>
      <c r="J12" s="3"/>
      <c r="K12" s="4">
        <v>0</v>
      </c>
      <c r="L12" s="2">
        <f>(Table510133233[[#This Row],[Total]] * (1 - Table510133233[[#This Row],[Discount (%)]]) + Table510133233[[#This Row],[ΕΦΚ]]) * (1 + Table510133233[[#This Row],[TAX (%)]])</f>
        <v>2.8</v>
      </c>
      <c r="M12" s="16" t="s">
        <v>197</v>
      </c>
    </row>
    <row r="13" spans="1:13" x14ac:dyDescent="0.3">
      <c r="A13" s="12">
        <v>45969</v>
      </c>
      <c r="B13" s="51">
        <v>1768</v>
      </c>
      <c r="C13" s="3" t="s">
        <v>77</v>
      </c>
      <c r="D13" s="3" t="s">
        <v>200</v>
      </c>
      <c r="E13" s="3" t="s">
        <v>53</v>
      </c>
      <c r="F13" s="3">
        <v>10.179</v>
      </c>
      <c r="G13" s="19">
        <v>1.23</v>
      </c>
      <c r="H13" s="2">
        <f>Table510133233[[#This Row],[Quantity]]*Table510133233[[#This Row],[Unit Price]]</f>
        <v>12.52017</v>
      </c>
      <c r="I13" s="3"/>
      <c r="J13" s="3"/>
      <c r="K13" s="4">
        <v>0.13</v>
      </c>
      <c r="L13" s="2">
        <f>(Table510133233[[#This Row],[Total]] * (1 - Table510133233[[#This Row],[Discount (%)]]) + Table510133233[[#This Row],[ΕΦΚ]]) * (1 + Table510133233[[#This Row],[TAX (%)]])</f>
        <v>14.147792099999998</v>
      </c>
    </row>
    <row r="14" spans="1:13" x14ac:dyDescent="0.3">
      <c r="A14" s="12">
        <v>45968</v>
      </c>
      <c r="B14" s="51">
        <v>0</v>
      </c>
      <c r="C14" s="3" t="s">
        <v>101</v>
      </c>
      <c r="D14" s="3" t="s">
        <v>208</v>
      </c>
      <c r="E14" s="3" t="s">
        <v>42</v>
      </c>
      <c r="F14" s="3">
        <v>1</v>
      </c>
      <c r="G14" s="19">
        <v>1.95</v>
      </c>
      <c r="H14" s="2">
        <f>Table510133233[[#This Row],[Quantity]]*Table510133233[[#This Row],[Unit Price]]</f>
        <v>1.95</v>
      </c>
      <c r="I14" s="3"/>
      <c r="J14" s="3"/>
      <c r="K14" s="4">
        <v>0</v>
      </c>
      <c r="L14" s="2">
        <f>(Table510133233[[#This Row],[Total]] * (1 - Table510133233[[#This Row],[Discount (%)]]) + Table510133233[[#This Row],[ΕΦΚ]]) * (1 + Table510133233[[#This Row],[TAX (%)]])</f>
        <v>1.95</v>
      </c>
      <c r="M14" s="16" t="s">
        <v>197</v>
      </c>
    </row>
    <row r="15" spans="1:13" x14ac:dyDescent="0.3">
      <c r="A15" s="12">
        <v>45968</v>
      </c>
      <c r="B15" s="51">
        <v>0</v>
      </c>
      <c r="C15" s="3" t="s">
        <v>101</v>
      </c>
      <c r="D15" s="3" t="s">
        <v>209</v>
      </c>
      <c r="E15" s="3" t="s">
        <v>42</v>
      </c>
      <c r="F15" s="3">
        <v>5</v>
      </c>
      <c r="G15" s="19">
        <v>0.98</v>
      </c>
      <c r="H15" s="2">
        <f>Table510133233[[#This Row],[Quantity]]*Table510133233[[#This Row],[Unit Price]]</f>
        <v>4.9000000000000004</v>
      </c>
      <c r="I15" s="3"/>
      <c r="J15" s="3"/>
      <c r="K15" s="4">
        <v>0</v>
      </c>
      <c r="L15" s="2">
        <f>(Table510133233[[#This Row],[Total]] * (1 - Table510133233[[#This Row],[Discount (%)]]) + Table510133233[[#This Row],[ΕΦΚ]]) * (1 + Table510133233[[#This Row],[TAX (%)]])</f>
        <v>4.9000000000000004</v>
      </c>
      <c r="M15" s="16" t="s">
        <v>197</v>
      </c>
    </row>
    <row r="16" spans="1:13" x14ac:dyDescent="0.3">
      <c r="A16" s="12">
        <v>45966</v>
      </c>
      <c r="B16" s="51">
        <v>1741</v>
      </c>
      <c r="C16" s="3" t="s">
        <v>77</v>
      </c>
      <c r="D16" s="3" t="s">
        <v>201</v>
      </c>
      <c r="E16" s="3" t="s">
        <v>53</v>
      </c>
      <c r="F16" s="3">
        <v>0.28799999999999998</v>
      </c>
      <c r="G16" s="19">
        <v>2.0299999999999998</v>
      </c>
      <c r="H16" s="2">
        <f>Table510133233[[#This Row],[Quantity]]*Table510133233[[#This Row],[Unit Price]]</f>
        <v>0.58463999999999994</v>
      </c>
      <c r="I16" s="3"/>
      <c r="J16" s="3"/>
      <c r="K16" s="4">
        <v>0.13</v>
      </c>
      <c r="L16" s="2">
        <f>(Table510133233[[#This Row],[Total]] * (1 - Table510133233[[#This Row],[Discount (%)]]) + Table510133233[[#This Row],[ΕΦΚ]]) * (1 + Table510133233[[#This Row],[TAX (%)]])</f>
        <v>0.66064319999999987</v>
      </c>
    </row>
    <row r="17" spans="1:13" x14ac:dyDescent="0.3">
      <c r="A17" s="12">
        <v>45966</v>
      </c>
      <c r="B17" s="51">
        <v>1741</v>
      </c>
      <c r="C17" s="3" t="s">
        <v>77</v>
      </c>
      <c r="D17" s="3" t="s">
        <v>202</v>
      </c>
      <c r="E17" s="3" t="s">
        <v>53</v>
      </c>
      <c r="F17" s="3">
        <v>0.48599999999999999</v>
      </c>
      <c r="G17" s="19">
        <v>4.92</v>
      </c>
      <c r="H17" s="2">
        <f>Table510133233[[#This Row],[Quantity]]*Table510133233[[#This Row],[Unit Price]]</f>
        <v>2.3911199999999999</v>
      </c>
      <c r="I17" s="3"/>
      <c r="J17" s="3"/>
      <c r="K17" s="4">
        <v>0.13</v>
      </c>
      <c r="L17" s="2">
        <f>(Table510133233[[#This Row],[Total]] * (1 - Table510133233[[#This Row],[Discount (%)]]) + Table510133233[[#This Row],[ΕΦΚ]]) * (1 + Table510133233[[#This Row],[TAX (%)]])</f>
        <v>2.7019655999999999</v>
      </c>
    </row>
    <row r="18" spans="1:13" x14ac:dyDescent="0.3">
      <c r="A18" s="12">
        <v>45966</v>
      </c>
      <c r="B18" s="51">
        <v>1741</v>
      </c>
      <c r="C18" s="3" t="s">
        <v>77</v>
      </c>
      <c r="D18" s="3" t="s">
        <v>203</v>
      </c>
      <c r="E18" s="3" t="s">
        <v>53</v>
      </c>
      <c r="F18" s="3">
        <v>0.34200000000000003</v>
      </c>
      <c r="G18" s="19">
        <v>0.67</v>
      </c>
      <c r="H18" s="2">
        <f>Table510133233[[#This Row],[Quantity]]*Table510133233[[#This Row],[Unit Price]]</f>
        <v>0.22914000000000004</v>
      </c>
      <c r="I18" s="3"/>
      <c r="J18" s="3"/>
      <c r="K18" s="4">
        <v>0.13</v>
      </c>
      <c r="L18" s="2">
        <f>(Table510133233[[#This Row],[Total]] * (1 - Table510133233[[#This Row],[Discount (%)]]) + Table510133233[[#This Row],[ΕΦΚ]]) * (1 + Table510133233[[#This Row],[TAX (%)]])</f>
        <v>0.2589282</v>
      </c>
    </row>
    <row r="19" spans="1:13" x14ac:dyDescent="0.3">
      <c r="A19" s="12">
        <v>45966</v>
      </c>
      <c r="B19" s="51">
        <v>1741</v>
      </c>
      <c r="C19" s="3" t="s">
        <v>77</v>
      </c>
      <c r="D19" s="3" t="s">
        <v>204</v>
      </c>
      <c r="E19" s="3" t="s">
        <v>53</v>
      </c>
      <c r="F19" s="3">
        <v>0.55200000000000005</v>
      </c>
      <c r="G19" s="19">
        <v>1.68</v>
      </c>
      <c r="H19" s="2">
        <f>Table510133233[[#This Row],[Quantity]]*Table510133233[[#This Row],[Unit Price]]</f>
        <v>0.92736000000000007</v>
      </c>
      <c r="I19" s="3"/>
      <c r="J19" s="3"/>
      <c r="K19" s="4">
        <v>0.13</v>
      </c>
      <c r="L19" s="2">
        <f>(Table510133233[[#This Row],[Total]] * (1 - Table510133233[[#This Row],[Discount (%)]]) + Table510133233[[#This Row],[ΕΦΚ]]) * (1 + Table510133233[[#This Row],[TAX (%)]])</f>
        <v>1.0479168000000001</v>
      </c>
    </row>
    <row r="20" spans="1:13" x14ac:dyDescent="0.3">
      <c r="A20" s="12">
        <v>45966</v>
      </c>
      <c r="B20" s="51">
        <v>1741</v>
      </c>
      <c r="C20" s="3" t="s">
        <v>77</v>
      </c>
      <c r="D20" s="3" t="s">
        <v>205</v>
      </c>
      <c r="E20" s="3" t="s">
        <v>53</v>
      </c>
      <c r="F20" s="3">
        <v>0.73199999999999998</v>
      </c>
      <c r="G20" s="19">
        <v>1.95</v>
      </c>
      <c r="H20" s="2">
        <f>Table510133233[[#This Row],[Quantity]]*Table510133233[[#This Row],[Unit Price]]</f>
        <v>1.4274</v>
      </c>
      <c r="I20" s="3"/>
      <c r="J20" s="3"/>
      <c r="K20" s="4">
        <v>0.13</v>
      </c>
      <c r="L20" s="2">
        <f>(Table510133233[[#This Row],[Total]] * (1 - Table510133233[[#This Row],[Discount (%)]]) + Table510133233[[#This Row],[ΕΦΚ]]) * (1 + Table510133233[[#This Row],[TAX (%)]])</f>
        <v>1.6129619999999998</v>
      </c>
    </row>
    <row r="21" spans="1:13" x14ac:dyDescent="0.3">
      <c r="A21" s="12">
        <v>45962</v>
      </c>
      <c r="B21" s="51">
        <v>1708</v>
      </c>
      <c r="C21" s="3" t="s">
        <v>100</v>
      </c>
      <c r="D21" s="3" t="s">
        <v>207</v>
      </c>
      <c r="E21" s="3" t="s">
        <v>42</v>
      </c>
      <c r="F21" s="3">
        <v>3</v>
      </c>
      <c r="G21" s="19">
        <v>1.32</v>
      </c>
      <c r="H21" s="2">
        <f>Table510133233[[#This Row],[Quantity]]*Table510133233[[#This Row],[Unit Price]]</f>
        <v>3.96</v>
      </c>
      <c r="I21" s="3"/>
      <c r="J21" s="3"/>
      <c r="K21" s="4">
        <v>0.13</v>
      </c>
      <c r="L21" s="2">
        <f>(Table510133233[[#This Row],[Total]] * (1 - Table510133233[[#This Row],[Discount (%)]]) + Table510133233[[#This Row],[ΕΦΚ]]) * (1 + Table510133233[[#This Row],[TAX (%)]])</f>
        <v>4.4747999999999992</v>
      </c>
    </row>
    <row r="22" spans="1:13" x14ac:dyDescent="0.3">
      <c r="A22" s="12">
        <v>45961</v>
      </c>
      <c r="B22" s="51">
        <v>0</v>
      </c>
      <c r="C22" s="3" t="s">
        <v>77</v>
      </c>
      <c r="D22" s="3" t="s">
        <v>199</v>
      </c>
      <c r="E22" s="3" t="s">
        <v>42</v>
      </c>
      <c r="F22" s="3">
        <v>1</v>
      </c>
      <c r="G22" s="19">
        <v>2.8</v>
      </c>
      <c r="H22" s="2">
        <f>Table510133233[[#This Row],[Quantity]]*Table510133233[[#This Row],[Unit Price]]</f>
        <v>2.8</v>
      </c>
      <c r="I22" s="3"/>
      <c r="J22" s="3"/>
      <c r="K22" s="4">
        <v>0</v>
      </c>
      <c r="L22" s="2">
        <f>(Table510133233[[#This Row],[Total]] * (1 - Table510133233[[#This Row],[Discount (%)]]) + Table510133233[[#This Row],[ΕΦΚ]]) * (1 + Table510133233[[#This Row],[TAX (%)]])</f>
        <v>2.8</v>
      </c>
      <c r="M22" s="16" t="s">
        <v>197</v>
      </c>
    </row>
    <row r="23" spans="1:13" x14ac:dyDescent="0.3">
      <c r="A23" s="12">
        <v>45954</v>
      </c>
      <c r="B23" s="51">
        <v>1634</v>
      </c>
      <c r="C23" s="3" t="s">
        <v>77</v>
      </c>
      <c r="D23" s="3" t="s">
        <v>193</v>
      </c>
      <c r="E23" s="3" t="s">
        <v>42</v>
      </c>
      <c r="F23" s="3">
        <v>2</v>
      </c>
      <c r="G23" s="19">
        <v>3.69</v>
      </c>
      <c r="H23" s="2">
        <f>Table510133233[[#This Row],[Quantity]]*Table510133233[[#This Row],[Unit Price]]</f>
        <v>7.38</v>
      </c>
      <c r="I23" s="3"/>
      <c r="J23" s="3"/>
      <c r="K23" s="4">
        <v>0.13</v>
      </c>
      <c r="L23" s="2">
        <f>(Table510133233[[#This Row],[Total]] * (1 - Table510133233[[#This Row],[Discount (%)]]) + Table510133233[[#This Row],[ΕΦΚ]]) * (1 + Table510133233[[#This Row],[TAX (%)]])</f>
        <v>8.3393999999999995</v>
      </c>
    </row>
    <row r="24" spans="1:13" x14ac:dyDescent="0.3">
      <c r="A24" s="12">
        <v>45954</v>
      </c>
      <c r="B24" s="51">
        <v>1634</v>
      </c>
      <c r="C24" s="3" t="s">
        <v>77</v>
      </c>
      <c r="D24" s="3" t="s">
        <v>192</v>
      </c>
      <c r="E24" s="3" t="s">
        <v>42</v>
      </c>
      <c r="F24" s="3">
        <v>1</v>
      </c>
      <c r="G24" s="19">
        <v>1.94</v>
      </c>
      <c r="H24" s="2">
        <f>Table510133233[[#This Row],[Quantity]]*Table510133233[[#This Row],[Unit Price]]</f>
        <v>1.94</v>
      </c>
      <c r="I24" s="3"/>
      <c r="J24" s="3"/>
      <c r="K24" s="4">
        <v>0.13</v>
      </c>
      <c r="L24" s="2">
        <f>(Table510133233[[#This Row],[Total]] * (1 - Table510133233[[#This Row],[Discount (%)]]) + Table510133233[[#This Row],[ΕΦΚ]]) * (1 + Table510133233[[#This Row],[TAX (%)]])</f>
        <v>2.1921999999999997</v>
      </c>
    </row>
    <row r="25" spans="1:13" x14ac:dyDescent="0.3">
      <c r="A25" s="12">
        <v>45946</v>
      </c>
      <c r="B25" s="51">
        <v>0</v>
      </c>
      <c r="C25" s="3" t="s">
        <v>89</v>
      </c>
      <c r="D25" s="3" t="s">
        <v>194</v>
      </c>
      <c r="E25" s="3" t="s">
        <v>42</v>
      </c>
      <c r="F25" s="3">
        <v>2</v>
      </c>
      <c r="G25" s="19">
        <v>1.47</v>
      </c>
      <c r="H25" s="2">
        <f>Table510133233[[#This Row],[Quantity]]*Table510133233[[#This Row],[Unit Price]]</f>
        <v>2.94</v>
      </c>
      <c r="I25" s="3"/>
      <c r="J25" s="3"/>
      <c r="K25" s="4">
        <v>0</v>
      </c>
      <c r="L25" s="2">
        <f>(Table510133233[[#This Row],[Total]] * (1 - Table510133233[[#This Row],[Discount (%)]]) + Table510133233[[#This Row],[ΕΦΚ]]) * (1 + Table510133233[[#This Row],[TAX (%)]])</f>
        <v>2.94</v>
      </c>
      <c r="M25" s="16" t="s">
        <v>197</v>
      </c>
    </row>
    <row r="26" spans="1:13" x14ac:dyDescent="0.3">
      <c r="A26" s="12">
        <v>45946</v>
      </c>
      <c r="B26" s="51">
        <f ca="1">-Table510133233[[#This Row],[Invoice ID]]</f>
        <v>0</v>
      </c>
      <c r="C26" s="3" t="s">
        <v>89</v>
      </c>
      <c r="D26" s="3" t="s">
        <v>195</v>
      </c>
      <c r="E26" s="3" t="s">
        <v>42</v>
      </c>
      <c r="F26" s="3">
        <v>1</v>
      </c>
      <c r="G26" s="19">
        <v>1.38</v>
      </c>
      <c r="H26" s="2">
        <f>Table510133233[[#This Row],[Quantity]]*Table510133233[[#This Row],[Unit Price]]</f>
        <v>1.38</v>
      </c>
      <c r="I26" s="3"/>
      <c r="J26" s="3"/>
      <c r="K26" s="4">
        <v>0</v>
      </c>
      <c r="L26" s="2">
        <f>(Table510133233[[#This Row],[Total]] * (1 - Table510133233[[#This Row],[Discount (%)]]) + Table510133233[[#This Row],[ΕΦΚ]]) * (1 + Table510133233[[#This Row],[TAX (%)]])</f>
        <v>1.38</v>
      </c>
      <c r="M26" s="16" t="s">
        <v>197</v>
      </c>
    </row>
    <row r="27" spans="1:13" x14ac:dyDescent="0.3">
      <c r="A27" s="12">
        <v>45946</v>
      </c>
      <c r="B27" s="51">
        <v>0</v>
      </c>
      <c r="C27" s="3" t="s">
        <v>89</v>
      </c>
      <c r="D27" s="3" t="s">
        <v>196</v>
      </c>
      <c r="E27" s="3" t="s">
        <v>42</v>
      </c>
      <c r="F27" s="3">
        <v>3</v>
      </c>
      <c r="G27" s="19">
        <v>1.57</v>
      </c>
      <c r="H27" s="2">
        <f>Table510133233[[#This Row],[Quantity]]*Table510133233[[#This Row],[Unit Price]]</f>
        <v>4.71</v>
      </c>
      <c r="I27" s="3"/>
      <c r="J27" s="3"/>
      <c r="K27" s="4">
        <v>0</v>
      </c>
      <c r="L27" s="2">
        <f>(Table510133233[[#This Row],[Total]] * (1 - Table510133233[[#This Row],[Discount (%)]]) + Table510133233[[#This Row],[ΕΦΚ]]) * (1 + Table510133233[[#This Row],[TAX (%)]])</f>
        <v>4.71</v>
      </c>
      <c r="M27" s="16" t="s">
        <v>197</v>
      </c>
    </row>
  </sheetData>
  <dataValidations count="3">
    <dataValidation type="date" allowBlank="1" showInputMessage="1" showErrorMessage="1" sqref="A1:A27" xr:uid="{1EACE471-6334-4F7D-B69E-E3D8867D0C4F}">
      <formula1>1</formula1>
      <formula2>401404</formula2>
    </dataValidation>
    <dataValidation type="list" showInputMessage="1" showErrorMessage="1" sqref="E1:E1048576" xr:uid="{3211EFEB-8E83-403B-9B0C-E5039F34EF71}">
      <formula1>"ΤΕΜ,ΚΙΒ,ΦΙΑ,ΚΙΛΑ,ΛΙΤΡΑ,ΠΑΚ,ΑΛΛΟ"</formula1>
    </dataValidation>
    <dataValidation type="list" showInputMessage="1" showErrorMessage="1" sqref="C1:C1048576" xr:uid="{7C56BFAD-EB57-4676-9504-BF9228C4189D}">
      <formula1>"COFFEE,BEVERAGE,WINE,BEER,FOOD,DAIRY,ALCOHOL,NON-FOOD"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7"/>
  <sheetViews>
    <sheetView workbookViewId="0">
      <selection activeCell="D16" sqref="D16"/>
    </sheetView>
  </sheetViews>
  <sheetFormatPr defaultColWidth="11.453125" defaultRowHeight="14.5" x14ac:dyDescent="0.35"/>
  <cols>
    <col min="1" max="1" width="11.26953125" style="55" bestFit="1" customWidth="1"/>
    <col min="2" max="2" width="13.453125" bestFit="1" customWidth="1"/>
    <col min="3" max="3" width="12.54296875" bestFit="1" customWidth="1"/>
    <col min="4" max="4" width="67.54296875" bestFit="1" customWidth="1"/>
    <col min="5" max="5" width="8" style="11" bestFit="1" customWidth="1"/>
    <col min="6" max="6" width="11.7265625" style="59" bestFit="1" customWidth="1"/>
    <col min="7" max="7" width="14.7265625" style="65" bestFit="1" customWidth="1"/>
    <col min="8" max="8" width="10.453125" style="11" bestFit="1" customWidth="1"/>
    <col min="9" max="9" width="16.26953125" style="57" bestFit="1" customWidth="1"/>
    <col min="10" max="10" width="8" bestFit="1" customWidth="1"/>
    <col min="11" max="11" width="11.26953125" style="57" bestFit="1" customWidth="1"/>
    <col min="12" max="12" width="13.54296875" style="56" bestFit="1" customWidth="1"/>
    <col min="13" max="13" width="17.81640625" bestFit="1" customWidth="1"/>
  </cols>
  <sheetData>
    <row r="1" spans="1:13" s="8" customFormat="1" ht="14" x14ac:dyDescent="0.3">
      <c r="A1" s="54" t="s">
        <v>3</v>
      </c>
      <c r="B1" s="8" t="s">
        <v>8</v>
      </c>
      <c r="C1" s="8" t="s">
        <v>10</v>
      </c>
      <c r="D1" s="8" t="s">
        <v>97</v>
      </c>
      <c r="E1" s="16" t="s">
        <v>41</v>
      </c>
      <c r="F1" s="8" t="s">
        <v>4</v>
      </c>
      <c r="G1" s="22" t="s">
        <v>6</v>
      </c>
      <c r="H1" s="9" t="s">
        <v>5</v>
      </c>
      <c r="I1" s="10" t="s">
        <v>7</v>
      </c>
      <c r="J1" s="10" t="s">
        <v>60</v>
      </c>
      <c r="K1" s="10" t="s">
        <v>29</v>
      </c>
      <c r="L1" s="14" t="s">
        <v>11</v>
      </c>
      <c r="M1" s="8" t="s">
        <v>198</v>
      </c>
    </row>
    <row r="2" spans="1:13" s="3" customFormat="1" ht="15" customHeight="1" x14ac:dyDescent="0.3">
      <c r="A2" s="50">
        <v>46118</v>
      </c>
      <c r="B2" s="51">
        <v>354</v>
      </c>
      <c r="C2" s="51" t="s">
        <v>101</v>
      </c>
      <c r="D2" s="3" t="s">
        <v>222</v>
      </c>
      <c r="E2" s="7" t="s">
        <v>42</v>
      </c>
      <c r="F2" s="52">
        <v>100</v>
      </c>
      <c r="G2" s="63">
        <v>0.72</v>
      </c>
      <c r="H2" s="7">
        <f>Table51013323370[[#This Row],[Quantity]]*Table51013323370[[#This Row],[Unit Price]]</f>
        <v>72</v>
      </c>
      <c r="I2" s="4"/>
      <c r="K2" s="4">
        <v>0.24</v>
      </c>
      <c r="L2" s="2">
        <f>(Table51013323370[[#This Row],[Total]] * (1 - Table51013323370[[#This Row],[Discount (%)]]) + Table51013323370[[#This Row],[ΕΦΚ]]) * (1 + Table51013323370[[#This Row],[TAX (%)]])</f>
        <v>89.28</v>
      </c>
      <c r="M2" s="16" t="s">
        <v>219</v>
      </c>
    </row>
    <row r="3" spans="1:13" s="3" customFormat="1" ht="15" customHeight="1" x14ac:dyDescent="0.3">
      <c r="A3" s="12">
        <v>46053</v>
      </c>
      <c r="B3" s="3">
        <v>75</v>
      </c>
      <c r="C3" s="3" t="s">
        <v>101</v>
      </c>
      <c r="D3" s="3" t="s">
        <v>220</v>
      </c>
      <c r="E3" s="3" t="s">
        <v>43</v>
      </c>
      <c r="F3" s="3">
        <v>1</v>
      </c>
      <c r="G3" s="19">
        <v>35.5</v>
      </c>
      <c r="H3" s="2">
        <f>Table51013323370[[#This Row],[Quantity]]*Table51013323370[[#This Row],[Unit Price]]</f>
        <v>35.5</v>
      </c>
      <c r="I3" s="4"/>
      <c r="J3" s="4"/>
      <c r="K3" s="4">
        <v>0.24</v>
      </c>
      <c r="L3" s="5">
        <f>(Table51013323370[[#This Row],[Total]] * (1 - Table51013323370[[#This Row],[Discount (%)]]) + Table51013323370[[#This Row],[ΕΦΚ]]) * (1 + Table51013323370[[#This Row],[TAX (%)]])</f>
        <v>44.02</v>
      </c>
      <c r="M3" s="16" t="s">
        <v>219</v>
      </c>
    </row>
    <row r="4" spans="1:13" x14ac:dyDescent="0.35">
      <c r="A4" s="12">
        <v>45966</v>
      </c>
      <c r="B4" s="3">
        <v>5664</v>
      </c>
      <c r="C4" s="3" t="s">
        <v>101</v>
      </c>
      <c r="D4" s="3" t="s">
        <v>220</v>
      </c>
      <c r="E4" s="3" t="s">
        <v>43</v>
      </c>
      <c r="F4" s="3">
        <v>1</v>
      </c>
      <c r="G4" s="19">
        <v>35.5</v>
      </c>
      <c r="H4" s="2">
        <f>Table51013323370[[#This Row],[Quantity]]*Table51013323370[[#This Row],[Unit Price]]</f>
        <v>35.5</v>
      </c>
      <c r="I4" s="4"/>
      <c r="J4" s="4"/>
      <c r="K4" s="4">
        <v>0.24</v>
      </c>
      <c r="L4" s="5">
        <f>(Table51013323370[[#This Row],[Total]] * (1 - Table51013323370[[#This Row],[Discount (%)]]) + Table51013323370[[#This Row],[ΕΦΚ]]) * (1 + Table51013323370[[#This Row],[TAX (%)]])</f>
        <v>44.02</v>
      </c>
      <c r="M4" s="16" t="s">
        <v>219</v>
      </c>
    </row>
    <row r="5" spans="1:13" x14ac:dyDescent="0.35">
      <c r="A5" s="50">
        <v>45966</v>
      </c>
      <c r="B5" s="51">
        <v>5664</v>
      </c>
      <c r="C5" s="12" t="s">
        <v>101</v>
      </c>
      <c r="D5" s="3" t="s">
        <v>221</v>
      </c>
      <c r="E5" s="3" t="s">
        <v>42</v>
      </c>
      <c r="F5" s="52">
        <v>1</v>
      </c>
      <c r="G5" s="19">
        <v>21.5</v>
      </c>
      <c r="H5" s="2">
        <f>Table51013323370[[#This Row],[Quantity]]*Table51013323370[[#This Row],[Unit Price]]</f>
        <v>21.5</v>
      </c>
      <c r="I5" s="4"/>
      <c r="J5" s="4"/>
      <c r="K5" s="53">
        <v>0.24</v>
      </c>
      <c r="L5" s="2">
        <f>(Table51013323370[[#This Row],[Total]] * (1 - Table51013323370[[#This Row],[Discount (%)]]) + Table51013323370[[#This Row],[ΕΦΚ]]) * (1 + Table51013323370[[#This Row],[TAX (%)]])</f>
        <v>26.66</v>
      </c>
      <c r="M5" s="16" t="s">
        <v>219</v>
      </c>
    </row>
    <row r="6" spans="1:13" x14ac:dyDescent="0.35">
      <c r="A6" s="12">
        <v>45994</v>
      </c>
      <c r="B6" s="51" t="s">
        <v>214</v>
      </c>
      <c r="C6" s="3" t="s">
        <v>101</v>
      </c>
      <c r="D6" s="3" t="s">
        <v>210</v>
      </c>
      <c r="E6" s="3" t="s">
        <v>42</v>
      </c>
      <c r="F6" s="61">
        <v>1</v>
      </c>
      <c r="G6" s="19">
        <v>78.16</v>
      </c>
      <c r="H6" s="2">
        <f>Table51013323370[[#This Row],[Quantity]]*Table51013323370[[#This Row],[Unit Price]]</f>
        <v>78.16</v>
      </c>
      <c r="I6" s="4">
        <v>0.15</v>
      </c>
      <c r="J6" s="4"/>
      <c r="K6" s="4">
        <v>0.24</v>
      </c>
      <c r="L6" s="2">
        <f>(Table51013323370[[#This Row],[Total]] * (1 - Table51013323370[[#This Row],[Discount (%)]]) + Table51013323370[[#This Row],[ΕΦΚ]]) * (1 + Table51013323370[[#This Row],[TAX (%)]])</f>
        <v>82.380639999999985</v>
      </c>
      <c r="M6" s="3" t="s">
        <v>344</v>
      </c>
    </row>
    <row r="7" spans="1:13" x14ac:dyDescent="0.35">
      <c r="A7" s="12">
        <v>45994</v>
      </c>
      <c r="B7" s="51" t="s">
        <v>214</v>
      </c>
      <c r="C7" s="3" t="s">
        <v>101</v>
      </c>
      <c r="D7" s="3" t="s">
        <v>211</v>
      </c>
      <c r="E7" s="3" t="s">
        <v>43</v>
      </c>
      <c r="F7" s="61">
        <v>1</v>
      </c>
      <c r="G7" s="19">
        <v>45.08</v>
      </c>
      <c r="H7" s="2">
        <f>Table51013323370[[#This Row],[Quantity]]*Table51013323370[[#This Row],[Unit Price]]</f>
        <v>45.08</v>
      </c>
      <c r="I7" s="4">
        <v>0.3</v>
      </c>
      <c r="J7" s="4"/>
      <c r="K7" s="4">
        <v>0.24</v>
      </c>
      <c r="L7" s="2">
        <f>(Table51013323370[[#This Row],[Total]] * (1 - Table51013323370[[#This Row],[Discount (%)]]) + Table51013323370[[#This Row],[ΕΦΚ]]) * (1 + Table51013323370[[#This Row],[TAX (%)]])</f>
        <v>39.129439999999995</v>
      </c>
      <c r="M7" s="3" t="s">
        <v>344</v>
      </c>
    </row>
    <row r="8" spans="1:13" x14ac:dyDescent="0.35">
      <c r="A8" s="12">
        <v>45994</v>
      </c>
      <c r="B8" s="51" t="s">
        <v>214</v>
      </c>
      <c r="C8" s="3" t="s">
        <v>101</v>
      </c>
      <c r="D8" s="3" t="s">
        <v>212</v>
      </c>
      <c r="E8" s="3" t="s">
        <v>43</v>
      </c>
      <c r="F8" s="61">
        <v>1</v>
      </c>
      <c r="G8" s="19">
        <v>46.64</v>
      </c>
      <c r="H8" s="2">
        <f>Table51013323370[[#This Row],[Quantity]]*Table51013323370[[#This Row],[Unit Price]]</f>
        <v>46.64</v>
      </c>
      <c r="I8" s="4">
        <v>0.3</v>
      </c>
      <c r="J8" s="4"/>
      <c r="K8" s="4">
        <v>0.24</v>
      </c>
      <c r="L8" s="2">
        <f>(Table51013323370[[#This Row],[Total]] * (1 - Table51013323370[[#This Row],[Discount (%)]]) + Table51013323370[[#This Row],[ΕΦΚ]]) * (1 + Table51013323370[[#This Row],[TAX (%)]])</f>
        <v>40.483519999999992</v>
      </c>
      <c r="M8" s="3" t="s">
        <v>344</v>
      </c>
    </row>
    <row r="9" spans="1:13" x14ac:dyDescent="0.35">
      <c r="A9" s="12">
        <v>45993</v>
      </c>
      <c r="B9" s="51" t="s">
        <v>213</v>
      </c>
      <c r="C9" s="3" t="s">
        <v>101</v>
      </c>
      <c r="D9" s="3" t="s">
        <v>215</v>
      </c>
      <c r="E9" s="3" t="s">
        <v>42</v>
      </c>
      <c r="F9" s="61">
        <v>1</v>
      </c>
      <c r="G9" s="19">
        <v>145.08000000000001</v>
      </c>
      <c r="H9" s="2">
        <f>Table51013323370[[#This Row],[Quantity]]*Table51013323370[[#This Row],[Unit Price]]</f>
        <v>145.08000000000001</v>
      </c>
      <c r="I9" s="4">
        <v>0.15</v>
      </c>
      <c r="J9" s="4"/>
      <c r="K9" s="4">
        <v>0.24</v>
      </c>
      <c r="L9" s="2">
        <f>(Table51013323370[[#This Row],[Total]] * (1 - Table51013323370[[#This Row],[Discount (%)]]) + Table51013323370[[#This Row],[ΕΦΚ]]) * (1 + Table51013323370[[#This Row],[TAX (%)]])</f>
        <v>152.91432</v>
      </c>
      <c r="M9" s="3" t="s">
        <v>344</v>
      </c>
    </row>
    <row r="10" spans="1:13" x14ac:dyDescent="0.35">
      <c r="A10" s="12">
        <v>45993</v>
      </c>
      <c r="B10" s="51" t="s">
        <v>213</v>
      </c>
      <c r="C10" s="12" t="s">
        <v>101</v>
      </c>
      <c r="D10" s="3" t="s">
        <v>216</v>
      </c>
      <c r="E10" s="3" t="s">
        <v>42</v>
      </c>
      <c r="F10" s="52">
        <v>1</v>
      </c>
      <c r="G10" s="19">
        <v>157.53</v>
      </c>
      <c r="H10" s="2">
        <f>Table51013323370[[#This Row],[Quantity]]*Table51013323370[[#This Row],[Unit Price]]</f>
        <v>157.53</v>
      </c>
      <c r="I10" s="4">
        <v>0.15</v>
      </c>
      <c r="J10" s="4"/>
      <c r="K10" s="53">
        <v>0.24</v>
      </c>
      <c r="L10" s="2">
        <f>(Table51013323370[[#This Row],[Total]] * (1 - Table51013323370[[#This Row],[Discount (%)]]) + Table51013323370[[#This Row],[ΕΦΚ]]) * (1 + Table51013323370[[#This Row],[TAX (%)]])</f>
        <v>166.03662</v>
      </c>
      <c r="M10" s="3" t="s">
        <v>344</v>
      </c>
    </row>
    <row r="11" spans="1:13" x14ac:dyDescent="0.35">
      <c r="A11" s="12">
        <v>45968</v>
      </c>
      <c r="B11" s="51" t="s">
        <v>217</v>
      </c>
      <c r="C11" s="3" t="s">
        <v>101</v>
      </c>
      <c r="D11" s="3" t="s">
        <v>210</v>
      </c>
      <c r="E11" s="3" t="s">
        <v>42</v>
      </c>
      <c r="F11" s="61">
        <v>1</v>
      </c>
      <c r="G11" s="19">
        <v>78.16</v>
      </c>
      <c r="H11" s="2">
        <f>Table51013323370[[#This Row],[Quantity]]*Table51013323370[[#This Row],[Unit Price]]</f>
        <v>78.16</v>
      </c>
      <c r="I11" s="4">
        <v>0.15</v>
      </c>
      <c r="J11" s="3"/>
      <c r="K11" s="4">
        <v>0.24</v>
      </c>
      <c r="L11" s="2">
        <f>(Table51013323370[[#This Row],[Total]] * (1 - Table51013323370[[#This Row],[Discount (%)]]) + Table51013323370[[#This Row],[ΕΦΚ]]) * (1 + Table51013323370[[#This Row],[TAX (%)]])</f>
        <v>82.380639999999985</v>
      </c>
      <c r="M11" s="3" t="s">
        <v>344</v>
      </c>
    </row>
    <row r="12" spans="1:13" x14ac:dyDescent="0.35">
      <c r="A12" s="12">
        <v>45968</v>
      </c>
      <c r="B12" s="51" t="s">
        <v>217</v>
      </c>
      <c r="C12" s="3" t="s">
        <v>101</v>
      </c>
      <c r="D12" s="3" t="s">
        <v>218</v>
      </c>
      <c r="E12" s="3" t="s">
        <v>42</v>
      </c>
      <c r="F12" s="61">
        <v>4</v>
      </c>
      <c r="G12" s="19">
        <v>5.66</v>
      </c>
      <c r="H12" s="2">
        <f>Table51013323370[[#This Row],[Quantity]]*Table51013323370[[#This Row],[Unit Price]]</f>
        <v>22.64</v>
      </c>
      <c r="I12" s="4">
        <v>0.3</v>
      </c>
      <c r="J12" s="3"/>
      <c r="K12" s="4">
        <v>0.24</v>
      </c>
      <c r="L12" s="2">
        <f>(Table51013323370[[#This Row],[Total]] * (1 - Table51013323370[[#This Row],[Discount (%)]]) + Table51013323370[[#This Row],[ΕΦΚ]]) * (1 + Table51013323370[[#This Row],[TAX (%)]])</f>
        <v>19.651519999999998</v>
      </c>
      <c r="M12" s="3" t="s">
        <v>344</v>
      </c>
    </row>
    <row r="13" spans="1:13" x14ac:dyDescent="0.35">
      <c r="E13" s="1"/>
      <c r="F13" s="58"/>
      <c r="G13" s="64"/>
      <c r="H13" s="1"/>
    </row>
    <row r="14" spans="1:13" x14ac:dyDescent="0.35">
      <c r="E14" s="1"/>
      <c r="F14" s="58"/>
      <c r="G14" s="64"/>
      <c r="H14" s="1"/>
    </row>
    <row r="15" spans="1:13" x14ac:dyDescent="0.35">
      <c r="E15" s="1"/>
      <c r="F15" s="58"/>
      <c r="G15" s="64"/>
      <c r="H15" s="1"/>
    </row>
    <row r="16" spans="1:13" x14ac:dyDescent="0.35">
      <c r="E16" s="1"/>
      <c r="F16" s="58"/>
      <c r="G16" s="64"/>
      <c r="H16" s="1"/>
    </row>
    <row r="17" spans="5:8" x14ac:dyDescent="0.35">
      <c r="E17" s="1"/>
      <c r="F17" s="58"/>
      <c r="G17" s="64"/>
      <c r="H17" s="1"/>
    </row>
  </sheetData>
  <dataValidations count="3">
    <dataValidation type="date" allowBlank="1" showInputMessage="1" showErrorMessage="1" sqref="A1:A12" xr:uid="{C9FA2E87-6FC8-4099-9A0C-9B135642ADC0}">
      <formula1>1</formula1>
      <formula2>401404</formula2>
    </dataValidation>
    <dataValidation type="list" showInputMessage="1" showErrorMessage="1" sqref="E1:E1048576" xr:uid="{ADDC6CE9-8371-4BC5-A6AF-ED7A083C4B83}">
      <formula1>"ΤΕΜ,ΚΙΒ,ΦΙΑ,ΚΙΛΑ,ΛΙΤΡΑ,ΠΑΚ,ΑΛΛΟ"</formula1>
    </dataValidation>
    <dataValidation type="list" showInputMessage="1" showErrorMessage="1" sqref="C1:C1048576" xr:uid="{AF3AD8F6-3A64-4CD5-8770-12AFD9D3CA19}">
      <formula1>"COFFEE,BEVERAGE,WINE,BEER,FOOD,DAIRY,ALCOHOL,NON-FOOD"</formula1>
    </dataValidation>
  </dataValidations>
  <pageMargins left="0.7" right="0.7" top="0.75" bottom="0.75" header="0.3" footer="0.3"/>
  <ignoredErrors>
    <ignoredError sqref="C1 E1 A1 E13:E1048576 A13:A1048576 C13:C1048576" listDataValidatio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7982DCB-527C-452A-97BF-072577F51B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Menu</vt:lpstr>
      <vt:lpstr>KAZOULIS</vt:lpstr>
      <vt:lpstr>RHODIAN</vt:lpstr>
      <vt:lpstr>CHRISTODOULIDES</vt:lpstr>
      <vt:lpstr>ΚΟΖΑΣ</vt:lpstr>
      <vt:lpstr>ΣΚΟΝΗΣ ΦΡΟΥΤΑ</vt:lpstr>
      <vt:lpstr>ΑΓΓΕΛΗΣ ΟΕ</vt:lpstr>
      <vt:lpstr>ΞΗΡΟΙ ΚΑΡΠΟΙ &amp; ΜΕΛΙ</vt:lpstr>
      <vt:lpstr>BAZAAR</vt:lpstr>
      <vt:lpstr>CLEANING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Franko Hysenllari</cp:lastModifiedBy>
  <dcterms:created xsi:type="dcterms:W3CDTF">2026-04-01T06:07:42Z</dcterms:created>
  <dcterms:modified xsi:type="dcterms:W3CDTF">2026-05-01T18:28:33Z</dcterms:modified>
</cp:coreProperties>
</file>